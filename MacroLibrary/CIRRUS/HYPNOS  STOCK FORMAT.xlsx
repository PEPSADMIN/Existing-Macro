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170" windowHeight="6195" firstSheet="1" activeTab="5"/>
  </bookViews>
  <sheets>
    <sheet name="BORDER ITEM CODE" sheetId="16" state="hidden" r:id="rId1"/>
    <sheet name="MASTER" sheetId="18" r:id="rId2"/>
    <sheet name="ENTRY INSTRUCTIONS" sheetId="20" state="hidden" r:id="rId3"/>
    <sheet name="WIP" sheetId="23" r:id="rId4"/>
    <sheet name="SERGER" sheetId="22" r:id="rId5"/>
    <sheet name="BORDER" sheetId="2" r:id="rId6"/>
    <sheet name="COVER" sheetId="19" r:id="rId7"/>
  </sheets>
  <definedNames>
    <definedName name="_xlnm._FilterDatabase" localSheetId="5" hidden="1">BORDER!$A$4:$U$203</definedName>
    <definedName name="_xlnm._FilterDatabase" localSheetId="6" hidden="1">COVER!$A$4:$V$203</definedName>
    <definedName name="_xlnm._FilterDatabase" localSheetId="1" hidden="1">MASTER!$B$1:$Y$24</definedName>
  </definedNames>
  <calcPr calcId="162913"/>
</workbook>
</file>

<file path=xl/calcChain.xml><?xml version="1.0" encoding="utf-8"?>
<calcChain xmlns="http://schemas.openxmlformats.org/spreadsheetml/2006/main">
  <c r="D3" i="23" l="1"/>
  <c r="E3" i="23" s="1"/>
  <c r="D4" i="23"/>
  <c r="E4" i="23" s="1"/>
  <c r="D5" i="23"/>
  <c r="E5" i="23" s="1"/>
  <c r="D6" i="23"/>
  <c r="E6" i="23" s="1"/>
  <c r="D7" i="23"/>
  <c r="E7" i="23" s="1"/>
  <c r="D8" i="23"/>
  <c r="E8" i="23" s="1"/>
  <c r="D9" i="23"/>
  <c r="E9" i="23" s="1"/>
  <c r="D10" i="23"/>
  <c r="E10" i="23" s="1"/>
  <c r="D11" i="23"/>
  <c r="E11" i="23" s="1"/>
  <c r="D12" i="23"/>
  <c r="E12" i="23" s="1"/>
  <c r="D13" i="23"/>
  <c r="E13" i="23" s="1"/>
  <c r="D14" i="23"/>
  <c r="E14" i="23" s="1"/>
  <c r="D15" i="23"/>
  <c r="E15" i="23" s="1"/>
  <c r="D16" i="23"/>
  <c r="E16" i="23" s="1"/>
  <c r="D17" i="23"/>
  <c r="E17" i="23" s="1"/>
  <c r="D18" i="23"/>
  <c r="E18" i="23" s="1"/>
  <c r="D19" i="23"/>
  <c r="E19" i="23" s="1"/>
  <c r="D20" i="23"/>
  <c r="E20" i="23" s="1"/>
  <c r="D21" i="23"/>
  <c r="E21" i="23" s="1"/>
  <c r="D22" i="23"/>
  <c r="E22" i="23" s="1"/>
  <c r="D23" i="23"/>
  <c r="E23" i="23" s="1"/>
  <c r="D24" i="23"/>
  <c r="E24" i="23" s="1"/>
  <c r="D25" i="23"/>
  <c r="E25" i="23" s="1"/>
  <c r="D26" i="23"/>
  <c r="E26" i="23" s="1"/>
  <c r="D27" i="23"/>
  <c r="E27" i="23" s="1"/>
  <c r="D28" i="23"/>
  <c r="E28" i="23" s="1"/>
  <c r="D29" i="23"/>
  <c r="E29" i="23" s="1"/>
  <c r="D30" i="23"/>
  <c r="E30" i="23" s="1"/>
  <c r="D31" i="23"/>
  <c r="E31" i="23" s="1"/>
  <c r="D32" i="23"/>
  <c r="E32" i="23" s="1"/>
  <c r="D33" i="23"/>
  <c r="E33" i="23" s="1"/>
  <c r="D34" i="23"/>
  <c r="E34" i="23" s="1"/>
  <c r="D35" i="23"/>
  <c r="E35" i="23" s="1"/>
  <c r="D36" i="23"/>
  <c r="E36" i="23" s="1"/>
  <c r="D37" i="23"/>
  <c r="E37" i="23" s="1"/>
  <c r="D38" i="23"/>
  <c r="E38" i="23" s="1"/>
  <c r="D39" i="23"/>
  <c r="E39" i="23" s="1"/>
  <c r="D40" i="23"/>
  <c r="E40" i="23" s="1"/>
  <c r="D41" i="23"/>
  <c r="E41" i="23" s="1"/>
  <c r="D42" i="23"/>
  <c r="E42" i="23" s="1"/>
  <c r="D43" i="23"/>
  <c r="E43" i="23" s="1"/>
  <c r="D44" i="23"/>
  <c r="E44" i="23" s="1"/>
  <c r="D45" i="23"/>
  <c r="E45" i="23" s="1"/>
  <c r="D46" i="23"/>
  <c r="E46" i="23" s="1"/>
  <c r="D47" i="23"/>
  <c r="E47" i="23" s="1"/>
  <c r="D48" i="23"/>
  <c r="E48" i="23" s="1"/>
  <c r="D49" i="23"/>
  <c r="E49" i="23" s="1"/>
  <c r="D50" i="23"/>
  <c r="E50" i="23" s="1"/>
  <c r="D51" i="23"/>
  <c r="E51" i="23" s="1"/>
  <c r="D52" i="23"/>
  <c r="E52" i="23" s="1"/>
  <c r="D53" i="23"/>
  <c r="E53" i="23" s="1"/>
  <c r="D54" i="23"/>
  <c r="E54" i="23" s="1"/>
  <c r="D55" i="23"/>
  <c r="E55" i="23" s="1"/>
  <c r="D56" i="23"/>
  <c r="E56" i="23" s="1"/>
  <c r="D57" i="23"/>
  <c r="E57" i="23" s="1"/>
  <c r="D58" i="23"/>
  <c r="E58" i="23" s="1"/>
  <c r="D59" i="23"/>
  <c r="E59" i="23" s="1"/>
  <c r="D60" i="23"/>
  <c r="E60" i="23" s="1"/>
  <c r="D61" i="23"/>
  <c r="E61" i="23" s="1"/>
  <c r="D62" i="23"/>
  <c r="E62" i="23" s="1"/>
  <c r="D63" i="23"/>
  <c r="E63" i="23" s="1"/>
  <c r="D64" i="23"/>
  <c r="E64" i="23" s="1"/>
  <c r="D65" i="23"/>
  <c r="E65" i="23" s="1"/>
  <c r="D66" i="23"/>
  <c r="E66" i="23" s="1"/>
  <c r="D67" i="23"/>
  <c r="E67" i="23" s="1"/>
  <c r="D68" i="23"/>
  <c r="E68" i="23" s="1"/>
  <c r="D69" i="23"/>
  <c r="E69" i="23" s="1"/>
  <c r="D70" i="23"/>
  <c r="E70" i="23" s="1"/>
  <c r="D71" i="23"/>
  <c r="E71" i="23" s="1"/>
  <c r="D72" i="23"/>
  <c r="E72" i="23" s="1"/>
  <c r="D73" i="23"/>
  <c r="E73" i="23" s="1"/>
  <c r="D74" i="23"/>
  <c r="E74" i="23" s="1"/>
  <c r="D75" i="23"/>
  <c r="E75" i="23" s="1"/>
  <c r="D76" i="23"/>
  <c r="E76" i="23" s="1"/>
  <c r="D77" i="23"/>
  <c r="E77" i="23" s="1"/>
  <c r="D78" i="23"/>
  <c r="E78" i="23" s="1"/>
  <c r="D79" i="23"/>
  <c r="E79" i="23" s="1"/>
  <c r="D80" i="23"/>
  <c r="E80" i="23" s="1"/>
  <c r="D81" i="23"/>
  <c r="E81" i="23" s="1"/>
  <c r="D82" i="23"/>
  <c r="E82" i="23" s="1"/>
  <c r="D83" i="23"/>
  <c r="E83" i="23" s="1"/>
  <c r="D84" i="23"/>
  <c r="E84" i="23" s="1"/>
  <c r="D85" i="23"/>
  <c r="E85" i="23" s="1"/>
  <c r="D86" i="23"/>
  <c r="E86" i="23" s="1"/>
  <c r="D87" i="23"/>
  <c r="E87" i="23" s="1"/>
  <c r="D88" i="23"/>
  <c r="E88" i="23" s="1"/>
  <c r="D89" i="23"/>
  <c r="E89" i="23" s="1"/>
  <c r="D90" i="23"/>
  <c r="E90" i="23" s="1"/>
  <c r="D91" i="23"/>
  <c r="E91" i="23" s="1"/>
  <c r="D92" i="23"/>
  <c r="E92" i="23" s="1"/>
  <c r="D93" i="23"/>
  <c r="E93" i="23" s="1"/>
  <c r="D94" i="23"/>
  <c r="E94" i="23" s="1"/>
  <c r="D95" i="23"/>
  <c r="E95" i="23" s="1"/>
  <c r="D96" i="23"/>
  <c r="E96" i="23" s="1"/>
  <c r="D97" i="23"/>
  <c r="E97" i="23" s="1"/>
  <c r="D98" i="23"/>
  <c r="E98" i="23" s="1"/>
  <c r="D99" i="23"/>
  <c r="E99" i="23" s="1"/>
  <c r="D100" i="23"/>
  <c r="E100" i="23" s="1"/>
  <c r="D101" i="23"/>
  <c r="E101" i="23" s="1"/>
  <c r="D102" i="23"/>
  <c r="E102" i="23" s="1"/>
  <c r="D103" i="23"/>
  <c r="E103" i="23" s="1"/>
  <c r="D104" i="23"/>
  <c r="E104" i="23" s="1"/>
  <c r="D105" i="23"/>
  <c r="E105" i="23" s="1"/>
  <c r="D106" i="23"/>
  <c r="E106" i="23" s="1"/>
  <c r="D107" i="23"/>
  <c r="E107" i="23" s="1"/>
  <c r="D108" i="23"/>
  <c r="E108" i="23" s="1"/>
  <c r="D109" i="23"/>
  <c r="E109" i="23" s="1"/>
  <c r="D110" i="23"/>
  <c r="E110" i="23" s="1"/>
  <c r="D111" i="23"/>
  <c r="E111" i="23" s="1"/>
  <c r="D112" i="23"/>
  <c r="E112" i="23" s="1"/>
  <c r="D113" i="23"/>
  <c r="E113" i="23" s="1"/>
  <c r="D114" i="23"/>
  <c r="E114" i="23" s="1"/>
  <c r="D115" i="23"/>
  <c r="E115" i="23" s="1"/>
  <c r="D116" i="23"/>
  <c r="E116" i="23" s="1"/>
  <c r="D117" i="23"/>
  <c r="E117" i="23" s="1"/>
  <c r="D118" i="23"/>
  <c r="E118" i="23" s="1"/>
  <c r="D119" i="23"/>
  <c r="E119" i="23" s="1"/>
  <c r="D120" i="23"/>
  <c r="E120" i="23" s="1"/>
  <c r="D121" i="23"/>
  <c r="E121" i="23" s="1"/>
  <c r="D122" i="23"/>
  <c r="E122" i="23" s="1"/>
  <c r="D123" i="23"/>
  <c r="E123" i="23" s="1"/>
  <c r="D124" i="23"/>
  <c r="E124" i="23" s="1"/>
  <c r="D125" i="23"/>
  <c r="E125" i="23" s="1"/>
  <c r="D126" i="23"/>
  <c r="E126" i="23" s="1"/>
  <c r="D127" i="23"/>
  <c r="E127" i="23" s="1"/>
  <c r="D128" i="23"/>
  <c r="E128" i="23" s="1"/>
  <c r="D129" i="23"/>
  <c r="E129" i="23" s="1"/>
  <c r="D130" i="23"/>
  <c r="E130" i="23" s="1"/>
  <c r="D131" i="23"/>
  <c r="E131" i="23" s="1"/>
  <c r="D132" i="23"/>
  <c r="E132" i="23" s="1"/>
  <c r="D133" i="23"/>
  <c r="E133" i="23" s="1"/>
  <c r="D134" i="23"/>
  <c r="E134" i="23" s="1"/>
  <c r="D135" i="23"/>
  <c r="E135" i="23" s="1"/>
  <c r="D136" i="23"/>
  <c r="E136" i="23" s="1"/>
  <c r="D137" i="23"/>
  <c r="E137" i="23" s="1"/>
  <c r="D138" i="23"/>
  <c r="E138" i="23" s="1"/>
  <c r="D139" i="23"/>
  <c r="E139" i="23" s="1"/>
  <c r="D140" i="23"/>
  <c r="E140" i="23" s="1"/>
  <c r="D141" i="23"/>
  <c r="E141" i="23" s="1"/>
  <c r="D142" i="23"/>
  <c r="E142" i="23" s="1"/>
  <c r="D143" i="23"/>
  <c r="E143" i="23" s="1"/>
  <c r="D144" i="23"/>
  <c r="E144" i="23" s="1"/>
  <c r="D145" i="23"/>
  <c r="E145" i="23" s="1"/>
  <c r="D146" i="23"/>
  <c r="E146" i="23" s="1"/>
  <c r="D147" i="23"/>
  <c r="E147" i="23" s="1"/>
  <c r="D148" i="23"/>
  <c r="E148" i="23" s="1"/>
  <c r="D149" i="23"/>
  <c r="E149" i="23" s="1"/>
  <c r="D150" i="23"/>
  <c r="E150" i="23" s="1"/>
  <c r="D151" i="23"/>
  <c r="E151" i="23" s="1"/>
  <c r="D152" i="23"/>
  <c r="E152" i="23" s="1"/>
  <c r="D153" i="23"/>
  <c r="E153" i="23" s="1"/>
  <c r="D154" i="23"/>
  <c r="E154" i="23" s="1"/>
  <c r="D155" i="23"/>
  <c r="E155" i="23" s="1"/>
  <c r="D156" i="23"/>
  <c r="E156" i="23" s="1"/>
  <c r="D157" i="23"/>
  <c r="E157" i="23" s="1"/>
  <c r="D158" i="23"/>
  <c r="E158" i="23" s="1"/>
  <c r="D159" i="23"/>
  <c r="E159" i="23" s="1"/>
  <c r="D160" i="23"/>
  <c r="E160" i="23" s="1"/>
  <c r="D161" i="23"/>
  <c r="E161" i="23" s="1"/>
  <c r="D162" i="23"/>
  <c r="E162" i="23" s="1"/>
  <c r="D163" i="23"/>
  <c r="E163" i="23" s="1"/>
  <c r="D164" i="23"/>
  <c r="E164" i="23" s="1"/>
  <c r="D165" i="23"/>
  <c r="E165" i="23" s="1"/>
  <c r="D166" i="23"/>
  <c r="E166" i="23" s="1"/>
  <c r="D167" i="23"/>
  <c r="E167" i="23" s="1"/>
  <c r="D168" i="23"/>
  <c r="E168" i="23" s="1"/>
  <c r="D169" i="23"/>
  <c r="E169" i="23" s="1"/>
  <c r="D170" i="23"/>
  <c r="E170" i="23" s="1"/>
  <c r="D171" i="23"/>
  <c r="E171" i="23" s="1"/>
  <c r="D172" i="23"/>
  <c r="E172" i="23" s="1"/>
  <c r="D173" i="23"/>
  <c r="E173" i="23" s="1"/>
  <c r="D174" i="23"/>
  <c r="E174" i="23" s="1"/>
  <c r="D175" i="23"/>
  <c r="E175" i="23" s="1"/>
  <c r="D176" i="23"/>
  <c r="E176" i="23" s="1"/>
  <c r="D177" i="23"/>
  <c r="E177" i="23" s="1"/>
  <c r="D178" i="23"/>
  <c r="E178" i="23" s="1"/>
  <c r="D179" i="23"/>
  <c r="E179" i="23" s="1"/>
  <c r="D180" i="23"/>
  <c r="E180" i="23" s="1"/>
  <c r="D181" i="23"/>
  <c r="E181" i="23" s="1"/>
  <c r="D182" i="23"/>
  <c r="E182" i="23" s="1"/>
  <c r="D183" i="23"/>
  <c r="E183" i="23" s="1"/>
  <c r="D184" i="23"/>
  <c r="E184" i="23" s="1"/>
  <c r="D185" i="23"/>
  <c r="E185" i="23" s="1"/>
  <c r="D186" i="23"/>
  <c r="E186" i="23" s="1"/>
  <c r="D187" i="23"/>
  <c r="E187" i="23" s="1"/>
  <c r="D188" i="23"/>
  <c r="E188" i="23" s="1"/>
  <c r="D189" i="23"/>
  <c r="E189" i="23" s="1"/>
  <c r="D190" i="23"/>
  <c r="E190" i="23" s="1"/>
  <c r="D191" i="23"/>
  <c r="E191" i="23" s="1"/>
  <c r="D192" i="23"/>
  <c r="E192" i="23" s="1"/>
  <c r="D193" i="23"/>
  <c r="E193" i="23" s="1"/>
  <c r="D194" i="23"/>
  <c r="E194" i="23" s="1"/>
  <c r="D195" i="23"/>
  <c r="E195" i="23" s="1"/>
  <c r="D196" i="23"/>
  <c r="E196" i="23" s="1"/>
  <c r="D197" i="23"/>
  <c r="E197" i="23" s="1"/>
  <c r="D198" i="23"/>
  <c r="E198" i="23" s="1"/>
  <c r="D199" i="23"/>
  <c r="E199" i="23" s="1"/>
  <c r="D200" i="23"/>
  <c r="E200" i="23" s="1"/>
  <c r="D201" i="23"/>
  <c r="E201" i="23" s="1"/>
  <c r="D2" i="23"/>
  <c r="E2" i="23" s="1"/>
  <c r="C202" i="2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" i="23"/>
  <c r="H2" i="22"/>
  <c r="G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F2" i="22"/>
  <c r="H202" i="22"/>
  <c r="D202" i="22"/>
  <c r="F202" i="23" l="1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P101" i="19"/>
  <c r="P102" i="19"/>
  <c r="P103" i="19"/>
  <c r="P104" i="19"/>
  <c r="P105" i="19"/>
  <c r="P106" i="19"/>
  <c r="P107" i="19"/>
  <c r="P108" i="19"/>
  <c r="P109" i="19"/>
  <c r="P110" i="19"/>
  <c r="P111" i="19"/>
  <c r="P112" i="19"/>
  <c r="P113" i="19"/>
  <c r="P114" i="19"/>
  <c r="P115" i="19"/>
  <c r="P116" i="19"/>
  <c r="P117" i="19"/>
  <c r="P118" i="19"/>
  <c r="P119" i="19"/>
  <c r="P120" i="19"/>
  <c r="P121" i="19"/>
  <c r="P122" i="19"/>
  <c r="P123" i="19"/>
  <c r="P124" i="19"/>
  <c r="P125" i="19"/>
  <c r="P126" i="19"/>
  <c r="P127" i="19"/>
  <c r="P128" i="19"/>
  <c r="P129" i="19"/>
  <c r="P130" i="19"/>
  <c r="P131" i="19"/>
  <c r="P132" i="19"/>
  <c r="P133" i="19"/>
  <c r="P134" i="19"/>
  <c r="P135" i="19"/>
  <c r="P136" i="19"/>
  <c r="P137" i="19"/>
  <c r="P138" i="19"/>
  <c r="P139" i="19"/>
  <c r="P140" i="19"/>
  <c r="P141" i="19"/>
  <c r="P142" i="19"/>
  <c r="P143" i="19"/>
  <c r="P144" i="19"/>
  <c r="P145" i="19"/>
  <c r="P146" i="19"/>
  <c r="P147" i="19"/>
  <c r="P148" i="19"/>
  <c r="P149" i="19"/>
  <c r="P150" i="19"/>
  <c r="P151" i="19"/>
  <c r="P152" i="19"/>
  <c r="P153" i="19"/>
  <c r="P154" i="19"/>
  <c r="P155" i="19"/>
  <c r="P156" i="19"/>
  <c r="P157" i="19"/>
  <c r="P158" i="19"/>
  <c r="P159" i="19"/>
  <c r="P160" i="19"/>
  <c r="P161" i="19"/>
  <c r="P162" i="19"/>
  <c r="P163" i="19"/>
  <c r="P164" i="19"/>
  <c r="P165" i="19"/>
  <c r="P166" i="19"/>
  <c r="P167" i="19"/>
  <c r="P168" i="19"/>
  <c r="P169" i="19"/>
  <c r="P170" i="19"/>
  <c r="P171" i="19"/>
  <c r="P172" i="19"/>
  <c r="P173" i="19"/>
  <c r="P174" i="19"/>
  <c r="P175" i="19"/>
  <c r="P176" i="19"/>
  <c r="P177" i="19"/>
  <c r="P178" i="19"/>
  <c r="P179" i="19"/>
  <c r="P180" i="19"/>
  <c r="P181" i="19"/>
  <c r="P182" i="19"/>
  <c r="P183" i="19"/>
  <c r="P184" i="19"/>
  <c r="P185" i="19"/>
  <c r="P186" i="19"/>
  <c r="P187" i="19"/>
  <c r="P188" i="19"/>
  <c r="P189" i="19"/>
  <c r="P190" i="19"/>
  <c r="P191" i="19"/>
  <c r="P192" i="19"/>
  <c r="P193" i="19"/>
  <c r="P194" i="19"/>
  <c r="P195" i="19"/>
  <c r="P196" i="19"/>
  <c r="P197" i="19"/>
  <c r="P198" i="19"/>
  <c r="P199" i="19"/>
  <c r="P200" i="19"/>
  <c r="P201" i="19"/>
  <c r="P202" i="19"/>
  <c r="J36" i="2"/>
  <c r="K36" i="2" s="1"/>
  <c r="J37" i="2"/>
  <c r="M14" i="19"/>
  <c r="M18" i="19"/>
  <c r="M22" i="19"/>
  <c r="M26" i="19"/>
  <c r="M30" i="19"/>
  <c r="M34" i="19"/>
  <c r="M38" i="19"/>
  <c r="M42" i="19"/>
  <c r="M46" i="19"/>
  <c r="M50" i="19"/>
  <c r="M54" i="19"/>
  <c r="M58" i="19"/>
  <c r="M62" i="19"/>
  <c r="M66" i="19"/>
  <c r="M70" i="19"/>
  <c r="M74" i="19"/>
  <c r="M78" i="19"/>
  <c r="M82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182" i="19"/>
  <c r="M183" i="19"/>
  <c r="M184" i="19"/>
  <c r="M185" i="19"/>
  <c r="M186" i="19"/>
  <c r="M187" i="19"/>
  <c r="M188" i="19"/>
  <c r="M189" i="19"/>
  <c r="M190" i="19"/>
  <c r="M191" i="19"/>
  <c r="M192" i="19"/>
  <c r="M193" i="19"/>
  <c r="M194" i="19"/>
  <c r="M195" i="19"/>
  <c r="M196" i="19"/>
  <c r="M197" i="19"/>
  <c r="M198" i="19"/>
  <c r="M199" i="19"/>
  <c r="M200" i="19"/>
  <c r="M201" i="19"/>
  <c r="M202" i="19"/>
  <c r="J6" i="19"/>
  <c r="J7" i="19"/>
  <c r="J8" i="19"/>
  <c r="J9" i="19"/>
  <c r="J10" i="19"/>
  <c r="J11" i="19"/>
  <c r="J12" i="19"/>
  <c r="J13" i="19"/>
  <c r="M13" i="19" s="1"/>
  <c r="J14" i="19"/>
  <c r="J15" i="19"/>
  <c r="M15" i="19" s="1"/>
  <c r="J16" i="19"/>
  <c r="M16" i="19" s="1"/>
  <c r="J17" i="19"/>
  <c r="M17" i="19" s="1"/>
  <c r="J18" i="19"/>
  <c r="J19" i="19"/>
  <c r="M19" i="19" s="1"/>
  <c r="J20" i="19"/>
  <c r="M20" i="19" s="1"/>
  <c r="J21" i="19"/>
  <c r="M21" i="19" s="1"/>
  <c r="J22" i="19"/>
  <c r="J23" i="19"/>
  <c r="M23" i="19" s="1"/>
  <c r="J24" i="19"/>
  <c r="M24" i="19" s="1"/>
  <c r="J25" i="19"/>
  <c r="M25" i="19" s="1"/>
  <c r="J26" i="19"/>
  <c r="J27" i="19"/>
  <c r="M27" i="19" s="1"/>
  <c r="J28" i="19"/>
  <c r="M28" i="19" s="1"/>
  <c r="J29" i="19"/>
  <c r="M29" i="19" s="1"/>
  <c r="J30" i="19"/>
  <c r="J31" i="19"/>
  <c r="M31" i="19" s="1"/>
  <c r="J32" i="19"/>
  <c r="M32" i="19" s="1"/>
  <c r="J33" i="19"/>
  <c r="M33" i="19" s="1"/>
  <c r="J34" i="19"/>
  <c r="J35" i="19"/>
  <c r="M35" i="19" s="1"/>
  <c r="J36" i="19"/>
  <c r="M36" i="19" s="1"/>
  <c r="J37" i="19"/>
  <c r="M37" i="19" s="1"/>
  <c r="J38" i="19"/>
  <c r="J39" i="19"/>
  <c r="M39" i="19" s="1"/>
  <c r="J40" i="19"/>
  <c r="M40" i="19" s="1"/>
  <c r="J41" i="19"/>
  <c r="M41" i="19" s="1"/>
  <c r="J42" i="19"/>
  <c r="J43" i="19"/>
  <c r="M43" i="19" s="1"/>
  <c r="J44" i="19"/>
  <c r="M44" i="19" s="1"/>
  <c r="J45" i="19"/>
  <c r="M45" i="19" s="1"/>
  <c r="J46" i="19"/>
  <c r="J47" i="19"/>
  <c r="M47" i="19" s="1"/>
  <c r="J48" i="19"/>
  <c r="M48" i="19" s="1"/>
  <c r="J49" i="19"/>
  <c r="M49" i="19" s="1"/>
  <c r="J50" i="19"/>
  <c r="J51" i="19"/>
  <c r="M51" i="19" s="1"/>
  <c r="J52" i="19"/>
  <c r="M52" i="19" s="1"/>
  <c r="J53" i="19"/>
  <c r="M53" i="19" s="1"/>
  <c r="J54" i="19"/>
  <c r="J55" i="19"/>
  <c r="M55" i="19" s="1"/>
  <c r="J56" i="19"/>
  <c r="M56" i="19" s="1"/>
  <c r="J57" i="19"/>
  <c r="M57" i="19" s="1"/>
  <c r="J58" i="19"/>
  <c r="J59" i="19"/>
  <c r="M59" i="19" s="1"/>
  <c r="J60" i="19"/>
  <c r="M60" i="19" s="1"/>
  <c r="J61" i="19"/>
  <c r="M61" i="19" s="1"/>
  <c r="J62" i="19"/>
  <c r="J63" i="19"/>
  <c r="M63" i="19" s="1"/>
  <c r="J64" i="19"/>
  <c r="M64" i="19" s="1"/>
  <c r="J65" i="19"/>
  <c r="M65" i="19" s="1"/>
  <c r="J66" i="19"/>
  <c r="J67" i="19"/>
  <c r="M67" i="19" s="1"/>
  <c r="J68" i="19"/>
  <c r="M68" i="19" s="1"/>
  <c r="J69" i="19"/>
  <c r="M69" i="19" s="1"/>
  <c r="J70" i="19"/>
  <c r="J71" i="19"/>
  <c r="M71" i="19" s="1"/>
  <c r="J72" i="19"/>
  <c r="M72" i="19" s="1"/>
  <c r="J73" i="19"/>
  <c r="M73" i="19" s="1"/>
  <c r="J74" i="19"/>
  <c r="J75" i="19"/>
  <c r="M75" i="19" s="1"/>
  <c r="J76" i="19"/>
  <c r="M76" i="19" s="1"/>
  <c r="J77" i="19"/>
  <c r="M77" i="19" s="1"/>
  <c r="J78" i="19"/>
  <c r="J79" i="19"/>
  <c r="M79" i="19" s="1"/>
  <c r="J80" i="19"/>
  <c r="M80" i="19" s="1"/>
  <c r="J81" i="19"/>
  <c r="M81" i="19" s="1"/>
  <c r="J82" i="19"/>
  <c r="J83" i="19"/>
  <c r="M83" i="19" s="1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5" i="19"/>
  <c r="K9" i="19"/>
  <c r="L9" i="19" s="1"/>
  <c r="K10" i="19"/>
  <c r="L10" i="19" s="1"/>
  <c r="K11" i="19"/>
  <c r="L11" i="19" s="1"/>
  <c r="K12" i="19"/>
  <c r="L12" i="19" s="1"/>
  <c r="K13" i="19"/>
  <c r="L13" i="19" s="1"/>
  <c r="K14" i="19"/>
  <c r="K15" i="19"/>
  <c r="L15" i="19" s="1"/>
  <c r="K16" i="19"/>
  <c r="L16" i="19" s="1"/>
  <c r="K17" i="19"/>
  <c r="K18" i="19"/>
  <c r="K19" i="19"/>
  <c r="L19" i="19" s="1"/>
  <c r="K20" i="19"/>
  <c r="L20" i="19" s="1"/>
  <c r="K21" i="19"/>
  <c r="L21" i="19" s="1"/>
  <c r="K22" i="19"/>
  <c r="L22" i="19" s="1"/>
  <c r="K23" i="19"/>
  <c r="L23" i="19" s="1"/>
  <c r="K24" i="19"/>
  <c r="L24" i="19" s="1"/>
  <c r="K25" i="19"/>
  <c r="L25" i="19" s="1"/>
  <c r="K26" i="19"/>
  <c r="K27" i="19"/>
  <c r="L27" i="19" s="1"/>
  <c r="K28" i="19"/>
  <c r="L28" i="19" s="1"/>
  <c r="K29" i="19"/>
  <c r="L29" i="19" s="1"/>
  <c r="K30" i="19"/>
  <c r="K31" i="19"/>
  <c r="L31" i="19" s="1"/>
  <c r="K32" i="19"/>
  <c r="L32" i="19" s="1"/>
  <c r="K33" i="19"/>
  <c r="L33" i="19" s="1"/>
  <c r="K34" i="19"/>
  <c r="K35" i="19"/>
  <c r="K36" i="19"/>
  <c r="L36" i="19" s="1"/>
  <c r="K37" i="19"/>
  <c r="L37" i="19" s="1"/>
  <c r="K38" i="19"/>
  <c r="L38" i="19" s="1"/>
  <c r="K39" i="19"/>
  <c r="L39" i="19" s="1"/>
  <c r="K40" i="19"/>
  <c r="L40" i="19" s="1"/>
  <c r="K41" i="19"/>
  <c r="L41" i="19" s="1"/>
  <c r="K42" i="19"/>
  <c r="K43" i="19"/>
  <c r="L43" i="19" s="1"/>
  <c r="K44" i="19"/>
  <c r="L44" i="19" s="1"/>
  <c r="K45" i="19"/>
  <c r="L45" i="19" s="1"/>
  <c r="K46" i="19"/>
  <c r="K47" i="19"/>
  <c r="L47" i="19" s="1"/>
  <c r="K48" i="19"/>
  <c r="L48" i="19" s="1"/>
  <c r="K49" i="19"/>
  <c r="L49" i="19" s="1"/>
  <c r="K50" i="19"/>
  <c r="K51" i="19"/>
  <c r="K52" i="19"/>
  <c r="L52" i="19" s="1"/>
  <c r="K53" i="19"/>
  <c r="L53" i="19" s="1"/>
  <c r="K54" i="19"/>
  <c r="L54" i="19" s="1"/>
  <c r="K55" i="19"/>
  <c r="L55" i="19" s="1"/>
  <c r="K56" i="19"/>
  <c r="L56" i="19" s="1"/>
  <c r="K57" i="19"/>
  <c r="L57" i="19" s="1"/>
  <c r="K58" i="19"/>
  <c r="K59" i="19"/>
  <c r="L59" i="19" s="1"/>
  <c r="K60" i="19"/>
  <c r="L60" i="19" s="1"/>
  <c r="K61" i="19"/>
  <c r="L61" i="19" s="1"/>
  <c r="K62" i="19"/>
  <c r="K63" i="19"/>
  <c r="L63" i="19" s="1"/>
  <c r="K64" i="19"/>
  <c r="L64" i="19" s="1"/>
  <c r="K65" i="19"/>
  <c r="L65" i="19" s="1"/>
  <c r="K66" i="19"/>
  <c r="K67" i="19"/>
  <c r="K68" i="19"/>
  <c r="L68" i="19" s="1"/>
  <c r="K69" i="19"/>
  <c r="L69" i="19" s="1"/>
  <c r="K70" i="19"/>
  <c r="L70" i="19" s="1"/>
  <c r="K71" i="19"/>
  <c r="L71" i="19" s="1"/>
  <c r="K72" i="19"/>
  <c r="L72" i="19" s="1"/>
  <c r="K73" i="19"/>
  <c r="L73" i="19" s="1"/>
  <c r="K74" i="19"/>
  <c r="K75" i="19"/>
  <c r="L75" i="19" s="1"/>
  <c r="K76" i="19"/>
  <c r="L76" i="19" s="1"/>
  <c r="K77" i="19"/>
  <c r="L77" i="19" s="1"/>
  <c r="K78" i="19"/>
  <c r="K79" i="19"/>
  <c r="L79" i="19" s="1"/>
  <c r="K80" i="19"/>
  <c r="L80" i="19" s="1"/>
  <c r="K81" i="19"/>
  <c r="L81" i="19" s="1"/>
  <c r="K82" i="19"/>
  <c r="K83" i="19"/>
  <c r="K84" i="19"/>
  <c r="L84" i="19" s="1"/>
  <c r="K85" i="19"/>
  <c r="K86" i="19"/>
  <c r="L86" i="19" s="1"/>
  <c r="K87" i="19"/>
  <c r="L87" i="19" s="1"/>
  <c r="K88" i="19"/>
  <c r="L88" i="19" s="1"/>
  <c r="K89" i="19"/>
  <c r="K90" i="19"/>
  <c r="K91" i="19"/>
  <c r="L91" i="19" s="1"/>
  <c r="K92" i="19"/>
  <c r="L92" i="19" s="1"/>
  <c r="K93" i="19"/>
  <c r="K94" i="19"/>
  <c r="K95" i="19"/>
  <c r="L95" i="19" s="1"/>
  <c r="K96" i="19"/>
  <c r="L96" i="19" s="1"/>
  <c r="K97" i="19"/>
  <c r="K98" i="19"/>
  <c r="K99" i="19"/>
  <c r="K100" i="19"/>
  <c r="L100" i="19" s="1"/>
  <c r="K101" i="19"/>
  <c r="K102" i="19"/>
  <c r="L102" i="19" s="1"/>
  <c r="K103" i="19"/>
  <c r="L103" i="19" s="1"/>
  <c r="K104" i="19"/>
  <c r="L104" i="19" s="1"/>
  <c r="K105" i="19"/>
  <c r="K106" i="19"/>
  <c r="K107" i="19"/>
  <c r="L107" i="19" s="1"/>
  <c r="N107" i="19" s="1"/>
  <c r="O107" i="19" s="1"/>
  <c r="K108" i="19"/>
  <c r="L108" i="19" s="1"/>
  <c r="K109" i="19"/>
  <c r="K110" i="19"/>
  <c r="K111" i="19"/>
  <c r="L111" i="19" s="1"/>
  <c r="N111" i="19" s="1"/>
  <c r="O111" i="19" s="1"/>
  <c r="K112" i="19"/>
  <c r="L112" i="19" s="1"/>
  <c r="K113" i="19"/>
  <c r="K114" i="19"/>
  <c r="K115" i="19"/>
  <c r="K116" i="19"/>
  <c r="L116" i="19" s="1"/>
  <c r="K117" i="19"/>
  <c r="K118" i="19"/>
  <c r="L118" i="19" s="1"/>
  <c r="K119" i="19"/>
  <c r="L119" i="19" s="1"/>
  <c r="N119" i="19" s="1"/>
  <c r="O119" i="19" s="1"/>
  <c r="K120" i="19"/>
  <c r="L120" i="19" s="1"/>
  <c r="K121" i="19"/>
  <c r="K122" i="19"/>
  <c r="K123" i="19"/>
  <c r="L123" i="19" s="1"/>
  <c r="K124" i="19"/>
  <c r="L124" i="19" s="1"/>
  <c r="K125" i="19"/>
  <c r="K126" i="19"/>
  <c r="K127" i="19"/>
  <c r="L127" i="19" s="1"/>
  <c r="K128" i="19"/>
  <c r="L128" i="19" s="1"/>
  <c r="K129" i="19"/>
  <c r="K130" i="19"/>
  <c r="K131" i="19"/>
  <c r="K132" i="19"/>
  <c r="L132" i="19" s="1"/>
  <c r="K133" i="19"/>
  <c r="K134" i="19"/>
  <c r="L134" i="19" s="1"/>
  <c r="K135" i="19"/>
  <c r="L135" i="19" s="1"/>
  <c r="K136" i="19"/>
  <c r="L136" i="19" s="1"/>
  <c r="K137" i="19"/>
  <c r="K138" i="19"/>
  <c r="K139" i="19"/>
  <c r="L139" i="19" s="1"/>
  <c r="N139" i="19" s="1"/>
  <c r="O139" i="19" s="1"/>
  <c r="K140" i="19"/>
  <c r="L140" i="19" s="1"/>
  <c r="K141" i="19"/>
  <c r="K142" i="19"/>
  <c r="K143" i="19"/>
  <c r="L143" i="19" s="1"/>
  <c r="K144" i="19"/>
  <c r="L144" i="19" s="1"/>
  <c r="K145" i="19"/>
  <c r="K146" i="19"/>
  <c r="K147" i="19"/>
  <c r="K148" i="19"/>
  <c r="L148" i="19" s="1"/>
  <c r="K149" i="19"/>
  <c r="K150" i="19"/>
  <c r="L150" i="19" s="1"/>
  <c r="K151" i="19"/>
  <c r="L151" i="19" s="1"/>
  <c r="K152" i="19"/>
  <c r="L152" i="19" s="1"/>
  <c r="K153" i="19"/>
  <c r="K154" i="19"/>
  <c r="K155" i="19"/>
  <c r="L155" i="19" s="1"/>
  <c r="K156" i="19"/>
  <c r="L156" i="19" s="1"/>
  <c r="K157" i="19"/>
  <c r="K158" i="19"/>
  <c r="K159" i="19"/>
  <c r="L159" i="19" s="1"/>
  <c r="K160" i="19"/>
  <c r="L160" i="19" s="1"/>
  <c r="K161" i="19"/>
  <c r="K162" i="19"/>
  <c r="K163" i="19"/>
  <c r="K164" i="19"/>
  <c r="L164" i="19" s="1"/>
  <c r="K165" i="19"/>
  <c r="K166" i="19"/>
  <c r="L166" i="19" s="1"/>
  <c r="K167" i="19"/>
  <c r="L167" i="19" s="1"/>
  <c r="K168" i="19"/>
  <c r="L168" i="19" s="1"/>
  <c r="K169" i="19"/>
  <c r="K170" i="19"/>
  <c r="K171" i="19"/>
  <c r="L171" i="19" s="1"/>
  <c r="K172" i="19"/>
  <c r="L172" i="19" s="1"/>
  <c r="K173" i="19"/>
  <c r="K174" i="19"/>
  <c r="K175" i="19"/>
  <c r="L175" i="19" s="1"/>
  <c r="K176" i="19"/>
  <c r="L176" i="19" s="1"/>
  <c r="K177" i="19"/>
  <c r="K178" i="19"/>
  <c r="K179" i="19"/>
  <c r="K180" i="19"/>
  <c r="L180" i="19" s="1"/>
  <c r="K181" i="19"/>
  <c r="K182" i="19"/>
  <c r="L182" i="19" s="1"/>
  <c r="K183" i="19"/>
  <c r="L183" i="19" s="1"/>
  <c r="K184" i="19"/>
  <c r="L184" i="19" s="1"/>
  <c r="K185" i="19"/>
  <c r="K186" i="19"/>
  <c r="K187" i="19"/>
  <c r="L187" i="19" s="1"/>
  <c r="K188" i="19"/>
  <c r="L188" i="19" s="1"/>
  <c r="K189" i="19"/>
  <c r="K190" i="19"/>
  <c r="K191" i="19"/>
  <c r="L191" i="19" s="1"/>
  <c r="K192" i="19"/>
  <c r="L192" i="19" s="1"/>
  <c r="K193" i="19"/>
  <c r="K194" i="19"/>
  <c r="K195" i="19"/>
  <c r="K196" i="19"/>
  <c r="L196" i="19" s="1"/>
  <c r="K197" i="19"/>
  <c r="K198" i="19"/>
  <c r="L198" i="19" s="1"/>
  <c r="K199" i="19"/>
  <c r="L199" i="19" s="1"/>
  <c r="K200" i="19"/>
  <c r="L200" i="19" s="1"/>
  <c r="K201" i="19"/>
  <c r="K202" i="19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P5" i="19"/>
  <c r="O5" i="2"/>
  <c r="L14" i="19"/>
  <c r="L17" i="19"/>
  <c r="L18" i="19"/>
  <c r="L26" i="19"/>
  <c r="L30" i="19"/>
  <c r="L34" i="19"/>
  <c r="L35" i="19"/>
  <c r="L42" i="19"/>
  <c r="L46" i="19"/>
  <c r="L50" i="19"/>
  <c r="L51" i="19"/>
  <c r="L58" i="19"/>
  <c r="L62" i="19"/>
  <c r="L66" i="19"/>
  <c r="L67" i="19"/>
  <c r="L74" i="19"/>
  <c r="L78" i="19"/>
  <c r="L82" i="19"/>
  <c r="L83" i="19"/>
  <c r="L85" i="19"/>
  <c r="L89" i="19"/>
  <c r="L90" i="19"/>
  <c r="L93" i="19"/>
  <c r="L94" i="19"/>
  <c r="L97" i="19"/>
  <c r="L98" i="19"/>
  <c r="L99" i="19"/>
  <c r="L101" i="19"/>
  <c r="L105" i="19"/>
  <c r="L106" i="19"/>
  <c r="L109" i="19"/>
  <c r="L110" i="19"/>
  <c r="L113" i="19"/>
  <c r="L114" i="19"/>
  <c r="L115" i="19"/>
  <c r="N115" i="19" s="1"/>
  <c r="O115" i="19" s="1"/>
  <c r="L117" i="19"/>
  <c r="L121" i="19"/>
  <c r="L122" i="19"/>
  <c r="L125" i="19"/>
  <c r="L126" i="19"/>
  <c r="L129" i="19"/>
  <c r="L130" i="19"/>
  <c r="L131" i="19"/>
  <c r="L133" i="19"/>
  <c r="L137" i="19"/>
  <c r="L138" i="19"/>
  <c r="L141" i="19"/>
  <c r="L142" i="19"/>
  <c r="L145" i="19"/>
  <c r="L146" i="19"/>
  <c r="L147" i="19"/>
  <c r="L149" i="19"/>
  <c r="L153" i="19"/>
  <c r="L154" i="19"/>
  <c r="L157" i="19"/>
  <c r="L158" i="19"/>
  <c r="L161" i="19"/>
  <c r="L162" i="19"/>
  <c r="L163" i="19"/>
  <c r="L165" i="19"/>
  <c r="L169" i="19"/>
  <c r="L170" i="19"/>
  <c r="L173" i="19"/>
  <c r="L174" i="19"/>
  <c r="L177" i="19"/>
  <c r="L178" i="19"/>
  <c r="L179" i="19"/>
  <c r="L181" i="19"/>
  <c r="L185" i="19"/>
  <c r="L186" i="19"/>
  <c r="L189" i="19"/>
  <c r="L190" i="19"/>
  <c r="L193" i="19"/>
  <c r="L194" i="19"/>
  <c r="L195" i="19"/>
  <c r="L197" i="19"/>
  <c r="L201" i="19"/>
  <c r="L202" i="19"/>
  <c r="N203" i="19"/>
  <c r="I202" i="19"/>
  <c r="H202" i="19"/>
  <c r="I201" i="19"/>
  <c r="H201" i="19"/>
  <c r="I200" i="19"/>
  <c r="H200" i="19"/>
  <c r="I199" i="19"/>
  <c r="H199" i="19"/>
  <c r="I198" i="19"/>
  <c r="H198" i="19"/>
  <c r="I197" i="19"/>
  <c r="H197" i="19"/>
  <c r="I196" i="19"/>
  <c r="H196" i="19"/>
  <c r="I195" i="19"/>
  <c r="H195" i="19"/>
  <c r="I194" i="19"/>
  <c r="H194" i="19"/>
  <c r="I193" i="19"/>
  <c r="H193" i="19"/>
  <c r="I192" i="19"/>
  <c r="H192" i="19"/>
  <c r="I191" i="19"/>
  <c r="H191" i="19"/>
  <c r="I190" i="19"/>
  <c r="H190" i="19"/>
  <c r="I189" i="19"/>
  <c r="H189" i="19"/>
  <c r="I188" i="19"/>
  <c r="H188" i="19"/>
  <c r="I187" i="19"/>
  <c r="H187" i="19"/>
  <c r="I186" i="19"/>
  <c r="H186" i="19"/>
  <c r="I185" i="19"/>
  <c r="H185" i="19"/>
  <c r="I184" i="19"/>
  <c r="H184" i="19"/>
  <c r="I183" i="19"/>
  <c r="H183" i="19"/>
  <c r="I182" i="19"/>
  <c r="H182" i="19"/>
  <c r="I181" i="19"/>
  <c r="H181" i="19"/>
  <c r="I180" i="19"/>
  <c r="H180" i="19"/>
  <c r="I179" i="19"/>
  <c r="H179" i="19"/>
  <c r="I178" i="19"/>
  <c r="H178" i="19"/>
  <c r="I177" i="19"/>
  <c r="H177" i="19"/>
  <c r="I176" i="19"/>
  <c r="H176" i="19"/>
  <c r="I175" i="19"/>
  <c r="H175" i="19"/>
  <c r="I174" i="19"/>
  <c r="H174" i="19"/>
  <c r="I173" i="19"/>
  <c r="H173" i="19"/>
  <c r="I172" i="19"/>
  <c r="H172" i="19"/>
  <c r="I171" i="19"/>
  <c r="H171" i="19"/>
  <c r="I170" i="19"/>
  <c r="H170" i="19"/>
  <c r="I169" i="19"/>
  <c r="H169" i="19"/>
  <c r="I168" i="19"/>
  <c r="H168" i="19"/>
  <c r="I167" i="19"/>
  <c r="H167" i="19"/>
  <c r="I166" i="19"/>
  <c r="H166" i="19"/>
  <c r="I165" i="19"/>
  <c r="H165" i="19"/>
  <c r="I164" i="19"/>
  <c r="H164" i="19"/>
  <c r="I163" i="19"/>
  <c r="H163" i="19"/>
  <c r="I162" i="19"/>
  <c r="H162" i="19"/>
  <c r="I161" i="19"/>
  <c r="H161" i="19"/>
  <c r="I160" i="19"/>
  <c r="H160" i="19"/>
  <c r="I159" i="19"/>
  <c r="H159" i="19"/>
  <c r="I158" i="19"/>
  <c r="H158" i="19"/>
  <c r="I157" i="19"/>
  <c r="H157" i="19"/>
  <c r="I156" i="19"/>
  <c r="H156" i="19"/>
  <c r="I155" i="19"/>
  <c r="H155" i="19"/>
  <c r="I154" i="19"/>
  <c r="H154" i="19"/>
  <c r="I153" i="19"/>
  <c r="H153" i="19"/>
  <c r="I152" i="19"/>
  <c r="H152" i="19"/>
  <c r="I151" i="19"/>
  <c r="H151" i="19"/>
  <c r="I150" i="19"/>
  <c r="H150" i="19"/>
  <c r="I149" i="19"/>
  <c r="H149" i="19"/>
  <c r="I148" i="19"/>
  <c r="H148" i="19"/>
  <c r="I147" i="19"/>
  <c r="H147" i="19"/>
  <c r="I146" i="19"/>
  <c r="H146" i="19"/>
  <c r="I145" i="19"/>
  <c r="H145" i="19"/>
  <c r="I144" i="19"/>
  <c r="H144" i="19"/>
  <c r="I143" i="19"/>
  <c r="H143" i="19"/>
  <c r="I142" i="19"/>
  <c r="H142" i="19"/>
  <c r="I141" i="19"/>
  <c r="H141" i="19"/>
  <c r="I140" i="19"/>
  <c r="H140" i="19"/>
  <c r="I139" i="19"/>
  <c r="H139" i="19"/>
  <c r="I138" i="19"/>
  <c r="H138" i="19"/>
  <c r="I137" i="19"/>
  <c r="H137" i="19"/>
  <c r="I136" i="19"/>
  <c r="H136" i="19"/>
  <c r="I135" i="19"/>
  <c r="H135" i="19"/>
  <c r="I134" i="19"/>
  <c r="H134" i="19"/>
  <c r="I133" i="19"/>
  <c r="H133" i="19"/>
  <c r="I132" i="19"/>
  <c r="H132" i="19"/>
  <c r="I131" i="19"/>
  <c r="H131" i="19"/>
  <c r="I130" i="19"/>
  <c r="H130" i="19"/>
  <c r="I129" i="19"/>
  <c r="H129" i="19"/>
  <c r="I128" i="19"/>
  <c r="H128" i="19"/>
  <c r="I127" i="19"/>
  <c r="H127" i="19"/>
  <c r="I126" i="19"/>
  <c r="H126" i="19"/>
  <c r="I125" i="19"/>
  <c r="H125" i="19"/>
  <c r="I124" i="19"/>
  <c r="H124" i="19"/>
  <c r="I123" i="19"/>
  <c r="H123" i="19"/>
  <c r="I122" i="19"/>
  <c r="H122" i="19"/>
  <c r="I121" i="19"/>
  <c r="H121" i="19"/>
  <c r="I120" i="19"/>
  <c r="H120" i="19"/>
  <c r="I119" i="19"/>
  <c r="H119" i="19"/>
  <c r="I118" i="19"/>
  <c r="H118" i="19"/>
  <c r="I117" i="19"/>
  <c r="H117" i="19"/>
  <c r="I116" i="19"/>
  <c r="H116" i="19"/>
  <c r="I115" i="19"/>
  <c r="H115" i="19"/>
  <c r="I114" i="19"/>
  <c r="H114" i="19"/>
  <c r="I113" i="19"/>
  <c r="H113" i="19"/>
  <c r="I112" i="19"/>
  <c r="H112" i="19"/>
  <c r="I111" i="19"/>
  <c r="H111" i="19"/>
  <c r="I110" i="19"/>
  <c r="H110" i="19"/>
  <c r="I109" i="19"/>
  <c r="H109" i="19"/>
  <c r="I108" i="19"/>
  <c r="H108" i="19"/>
  <c r="I107" i="19"/>
  <c r="H107" i="19"/>
  <c r="I106" i="19"/>
  <c r="H106" i="19"/>
  <c r="I105" i="19"/>
  <c r="H105" i="19"/>
  <c r="I104" i="19"/>
  <c r="H104" i="19"/>
  <c r="I103" i="19"/>
  <c r="H103" i="19"/>
  <c r="I102" i="19"/>
  <c r="H102" i="19"/>
  <c r="I101" i="19"/>
  <c r="H101" i="19"/>
  <c r="I100" i="19"/>
  <c r="H100" i="19"/>
  <c r="I99" i="19"/>
  <c r="H99" i="19"/>
  <c r="I98" i="19"/>
  <c r="H98" i="19"/>
  <c r="I97" i="19"/>
  <c r="H97" i="19"/>
  <c r="I96" i="19"/>
  <c r="H96" i="19"/>
  <c r="I95" i="19"/>
  <c r="H95" i="19"/>
  <c r="I94" i="19"/>
  <c r="H94" i="19"/>
  <c r="I93" i="19"/>
  <c r="H93" i="19"/>
  <c r="I92" i="19"/>
  <c r="H92" i="19"/>
  <c r="I91" i="19"/>
  <c r="H91" i="19"/>
  <c r="I90" i="19"/>
  <c r="H90" i="19"/>
  <c r="I89" i="19"/>
  <c r="H89" i="19"/>
  <c r="I88" i="19"/>
  <c r="H88" i="19"/>
  <c r="I87" i="19"/>
  <c r="H87" i="19"/>
  <c r="I86" i="19"/>
  <c r="H86" i="19"/>
  <c r="I85" i="19"/>
  <c r="H85" i="19"/>
  <c r="I84" i="19"/>
  <c r="H84" i="19"/>
  <c r="I83" i="19"/>
  <c r="H83" i="19"/>
  <c r="I82" i="19"/>
  <c r="H82" i="19"/>
  <c r="I81" i="19"/>
  <c r="H81" i="19"/>
  <c r="I80" i="19"/>
  <c r="H80" i="19"/>
  <c r="I79" i="19"/>
  <c r="H79" i="19"/>
  <c r="I78" i="19"/>
  <c r="H78" i="19"/>
  <c r="I77" i="19"/>
  <c r="H77" i="19"/>
  <c r="I76" i="19"/>
  <c r="H76" i="19"/>
  <c r="I75" i="19"/>
  <c r="H75" i="19"/>
  <c r="I74" i="19"/>
  <c r="H74" i="19"/>
  <c r="I73" i="19"/>
  <c r="H73" i="19"/>
  <c r="I72" i="19"/>
  <c r="H72" i="19"/>
  <c r="I71" i="19"/>
  <c r="H71" i="19"/>
  <c r="I70" i="19"/>
  <c r="H70" i="19"/>
  <c r="I69" i="19"/>
  <c r="H69" i="19"/>
  <c r="I68" i="19"/>
  <c r="H68" i="19"/>
  <c r="I67" i="19"/>
  <c r="H67" i="19"/>
  <c r="I66" i="19"/>
  <c r="H66" i="19"/>
  <c r="I65" i="19"/>
  <c r="H65" i="19"/>
  <c r="I64" i="19"/>
  <c r="H64" i="19"/>
  <c r="I63" i="19"/>
  <c r="H63" i="19"/>
  <c r="I62" i="19"/>
  <c r="H62" i="19"/>
  <c r="I61" i="19"/>
  <c r="H61" i="19"/>
  <c r="I60" i="19"/>
  <c r="H60" i="19"/>
  <c r="I59" i="19"/>
  <c r="H59" i="19"/>
  <c r="I58" i="19"/>
  <c r="H58" i="19"/>
  <c r="I57" i="19"/>
  <c r="H57" i="19"/>
  <c r="I56" i="19"/>
  <c r="H56" i="19"/>
  <c r="I55" i="19"/>
  <c r="H55" i="19"/>
  <c r="I54" i="19"/>
  <c r="H54" i="19"/>
  <c r="I53" i="19"/>
  <c r="H53" i="19"/>
  <c r="I52" i="19"/>
  <c r="H52" i="19"/>
  <c r="I51" i="19"/>
  <c r="H51" i="19"/>
  <c r="I50" i="19"/>
  <c r="H50" i="19"/>
  <c r="I49" i="19"/>
  <c r="H49" i="19"/>
  <c r="I48" i="19"/>
  <c r="H48" i="19"/>
  <c r="I47" i="19"/>
  <c r="H47" i="19"/>
  <c r="I46" i="19"/>
  <c r="H46" i="19"/>
  <c r="I45" i="19"/>
  <c r="H45" i="19"/>
  <c r="I44" i="19"/>
  <c r="H44" i="19"/>
  <c r="I43" i="19"/>
  <c r="H43" i="19"/>
  <c r="I42" i="19"/>
  <c r="H42" i="19"/>
  <c r="I41" i="19"/>
  <c r="H41" i="19"/>
  <c r="I40" i="19"/>
  <c r="H40" i="19"/>
  <c r="I39" i="19"/>
  <c r="H39" i="19"/>
  <c r="I38" i="19"/>
  <c r="H38" i="19"/>
  <c r="I37" i="19"/>
  <c r="H37" i="19"/>
  <c r="I36" i="19"/>
  <c r="H36" i="19"/>
  <c r="I35" i="19"/>
  <c r="H35" i="19"/>
  <c r="I34" i="19"/>
  <c r="H34" i="19"/>
  <c r="I33" i="19"/>
  <c r="H33" i="19"/>
  <c r="I32" i="19"/>
  <c r="H32" i="19"/>
  <c r="I31" i="19"/>
  <c r="H31" i="19"/>
  <c r="I30" i="19"/>
  <c r="H30" i="19"/>
  <c r="I29" i="19"/>
  <c r="H29" i="19"/>
  <c r="I28" i="19"/>
  <c r="H28" i="19"/>
  <c r="I27" i="19"/>
  <c r="H27" i="19"/>
  <c r="I26" i="19"/>
  <c r="H26" i="19"/>
  <c r="I25" i="19"/>
  <c r="H25" i="19"/>
  <c r="I24" i="19"/>
  <c r="H24" i="19"/>
  <c r="I23" i="19"/>
  <c r="H23" i="19"/>
  <c r="I22" i="19"/>
  <c r="H22" i="19"/>
  <c r="I21" i="19"/>
  <c r="H21" i="19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M10" i="19" s="1"/>
  <c r="I9" i="19"/>
  <c r="H9" i="19"/>
  <c r="K8" i="19"/>
  <c r="L8" i="19" s="1"/>
  <c r="I8" i="19"/>
  <c r="H8" i="19"/>
  <c r="K7" i="19"/>
  <c r="L7" i="19" s="1"/>
  <c r="I7" i="19"/>
  <c r="H7" i="19"/>
  <c r="K6" i="19"/>
  <c r="L6" i="19" s="1"/>
  <c r="I6" i="19"/>
  <c r="H6" i="19"/>
  <c r="K5" i="19"/>
  <c r="I5" i="19"/>
  <c r="H5" i="19"/>
  <c r="R1" i="19"/>
  <c r="P1" i="19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K162" i="2"/>
  <c r="M162" i="2" s="1"/>
  <c r="K163" i="2"/>
  <c r="M163" i="2" s="1"/>
  <c r="K164" i="2"/>
  <c r="M164" i="2" s="1"/>
  <c r="K165" i="2"/>
  <c r="K166" i="2"/>
  <c r="M166" i="2" s="1"/>
  <c r="K167" i="2"/>
  <c r="M167" i="2" s="1"/>
  <c r="K168" i="2"/>
  <c r="M168" i="2" s="1"/>
  <c r="K169" i="2"/>
  <c r="K170" i="2"/>
  <c r="M170" i="2" s="1"/>
  <c r="K171" i="2"/>
  <c r="M171" i="2" s="1"/>
  <c r="K172" i="2"/>
  <c r="M172" i="2" s="1"/>
  <c r="K173" i="2"/>
  <c r="K174" i="2"/>
  <c r="M174" i="2" s="1"/>
  <c r="K175" i="2"/>
  <c r="M175" i="2" s="1"/>
  <c r="K176" i="2"/>
  <c r="M176" i="2" s="1"/>
  <c r="K177" i="2"/>
  <c r="K178" i="2"/>
  <c r="M178" i="2" s="1"/>
  <c r="K179" i="2"/>
  <c r="M179" i="2" s="1"/>
  <c r="K180" i="2"/>
  <c r="M180" i="2" s="1"/>
  <c r="K181" i="2"/>
  <c r="K182" i="2"/>
  <c r="M182" i="2" s="1"/>
  <c r="K183" i="2"/>
  <c r="M183" i="2" s="1"/>
  <c r="K184" i="2"/>
  <c r="M184" i="2" s="1"/>
  <c r="K185" i="2"/>
  <c r="K186" i="2"/>
  <c r="M186" i="2" s="1"/>
  <c r="K187" i="2"/>
  <c r="M187" i="2" s="1"/>
  <c r="K188" i="2"/>
  <c r="M188" i="2" s="1"/>
  <c r="K189" i="2"/>
  <c r="K190" i="2"/>
  <c r="K191" i="2"/>
  <c r="M191" i="2" s="1"/>
  <c r="K192" i="2"/>
  <c r="M192" i="2" s="1"/>
  <c r="K193" i="2"/>
  <c r="K194" i="2"/>
  <c r="M194" i="2" s="1"/>
  <c r="K195" i="2"/>
  <c r="M195" i="2" s="1"/>
  <c r="K196" i="2"/>
  <c r="M196" i="2" s="1"/>
  <c r="K197" i="2"/>
  <c r="K198" i="2"/>
  <c r="K199" i="2"/>
  <c r="M199" i="2" s="1"/>
  <c r="K200" i="2"/>
  <c r="M200" i="2" s="1"/>
  <c r="K201" i="2"/>
  <c r="K202" i="2"/>
  <c r="M202" i="2" s="1"/>
  <c r="M12" i="19" l="1"/>
  <c r="M6" i="19"/>
  <c r="N6" i="19" s="1"/>
  <c r="O6" i="19" s="1"/>
  <c r="M11" i="19"/>
  <c r="M8" i="19"/>
  <c r="M9" i="19"/>
  <c r="M7" i="19"/>
  <c r="N7" i="19" s="1"/>
  <c r="O7" i="19" s="1"/>
  <c r="M5" i="19"/>
  <c r="N67" i="19"/>
  <c r="O67" i="19" s="1"/>
  <c r="P203" i="19"/>
  <c r="N51" i="19"/>
  <c r="O51" i="19" s="1"/>
  <c r="N95" i="19"/>
  <c r="O95" i="19" s="1"/>
  <c r="N91" i="19"/>
  <c r="O91" i="19" s="1"/>
  <c r="N55" i="19"/>
  <c r="O55" i="19" s="1"/>
  <c r="N43" i="19"/>
  <c r="O43" i="19" s="1"/>
  <c r="N23" i="19"/>
  <c r="O23" i="19" s="1"/>
  <c r="N12" i="19"/>
  <c r="O12" i="19" s="1"/>
  <c r="N14" i="19"/>
  <c r="O14" i="19" s="1"/>
  <c r="N24" i="19"/>
  <c r="O24" i="19" s="1"/>
  <c r="N34" i="19"/>
  <c r="O34" i="19" s="1"/>
  <c r="N42" i="19"/>
  <c r="O42" i="19" s="1"/>
  <c r="N71" i="19"/>
  <c r="O71" i="19" s="1"/>
  <c r="N79" i="19"/>
  <c r="O79" i="19" s="1"/>
  <c r="N132" i="19"/>
  <c r="O132" i="19" s="1"/>
  <c r="N134" i="19"/>
  <c r="O134" i="19" s="1"/>
  <c r="N138" i="19"/>
  <c r="O138" i="19" s="1"/>
  <c r="N142" i="19"/>
  <c r="O142" i="19" s="1"/>
  <c r="N148" i="19"/>
  <c r="O148" i="19" s="1"/>
  <c r="N162" i="19"/>
  <c r="O162" i="19" s="1"/>
  <c r="N166" i="19"/>
  <c r="O166" i="19" s="1"/>
  <c r="N172" i="19"/>
  <c r="O172" i="19" s="1"/>
  <c r="N182" i="19"/>
  <c r="O182" i="19" s="1"/>
  <c r="N99" i="19"/>
  <c r="O99" i="19" s="1"/>
  <c r="N11" i="19"/>
  <c r="O11" i="19" s="1"/>
  <c r="N46" i="19"/>
  <c r="O46" i="19" s="1"/>
  <c r="N58" i="19"/>
  <c r="O58" i="19" s="1"/>
  <c r="N66" i="19"/>
  <c r="O66" i="19" s="1"/>
  <c r="N70" i="19"/>
  <c r="O70" i="19" s="1"/>
  <c r="N87" i="19"/>
  <c r="O87" i="19" s="1"/>
  <c r="N103" i="19"/>
  <c r="O103" i="19" s="1"/>
  <c r="N13" i="19"/>
  <c r="O13" i="19" s="1"/>
  <c r="N17" i="19"/>
  <c r="O17" i="19" s="1"/>
  <c r="N25" i="19"/>
  <c r="O25" i="19" s="1"/>
  <c r="N27" i="19"/>
  <c r="O27" i="19" s="1"/>
  <c r="N35" i="19"/>
  <c r="O35" i="19" s="1"/>
  <c r="N39" i="19"/>
  <c r="O39" i="19" s="1"/>
  <c r="N78" i="19"/>
  <c r="O78" i="19" s="1"/>
  <c r="N127" i="19"/>
  <c r="O127" i="19" s="1"/>
  <c r="N131" i="19"/>
  <c r="O131" i="19" s="1"/>
  <c r="N73" i="19"/>
  <c r="O73" i="19" s="1"/>
  <c r="N188" i="19"/>
  <c r="O188" i="19" s="1"/>
  <c r="N184" i="19"/>
  <c r="O184" i="19" s="1"/>
  <c r="N168" i="19"/>
  <c r="O168" i="19" s="1"/>
  <c r="N164" i="19"/>
  <c r="O164" i="19" s="1"/>
  <c r="N156" i="19"/>
  <c r="O156" i="19" s="1"/>
  <c r="N108" i="19"/>
  <c r="O108" i="19" s="1"/>
  <c r="N19" i="19"/>
  <c r="O19" i="19" s="1"/>
  <c r="N44" i="19"/>
  <c r="O44" i="19" s="1"/>
  <c r="N48" i="19"/>
  <c r="O48" i="19" s="1"/>
  <c r="N60" i="19"/>
  <c r="O60" i="19" s="1"/>
  <c r="N200" i="19"/>
  <c r="O200" i="19" s="1"/>
  <c r="N160" i="19"/>
  <c r="O160" i="19" s="1"/>
  <c r="N120" i="19"/>
  <c r="O120" i="19" s="1"/>
  <c r="N36" i="19"/>
  <c r="O36" i="19" s="1"/>
  <c r="N104" i="19"/>
  <c r="O104" i="19" s="1"/>
  <c r="N22" i="19"/>
  <c r="O22" i="19" s="1"/>
  <c r="M198" i="2"/>
  <c r="M190" i="2"/>
  <c r="N90" i="19"/>
  <c r="O90" i="19" s="1"/>
  <c r="N175" i="19"/>
  <c r="O175" i="19" s="1"/>
  <c r="N191" i="19"/>
  <c r="O191" i="19" s="1"/>
  <c r="N199" i="19"/>
  <c r="O199" i="19" s="1"/>
  <c r="N38" i="19"/>
  <c r="O38" i="19" s="1"/>
  <c r="N26" i="19"/>
  <c r="O26" i="19" s="1"/>
  <c r="N18" i="19"/>
  <c r="O18" i="19" s="1"/>
  <c r="N40" i="19"/>
  <c r="O40" i="19" s="1"/>
  <c r="N144" i="19"/>
  <c r="O144" i="19" s="1"/>
  <c r="N72" i="19"/>
  <c r="O72" i="19" s="1"/>
  <c r="N112" i="19"/>
  <c r="O112" i="19" s="1"/>
  <c r="N128" i="19"/>
  <c r="O128" i="19" s="1"/>
  <c r="N136" i="19"/>
  <c r="O136" i="19" s="1"/>
  <c r="N152" i="19"/>
  <c r="O152" i="19" s="1"/>
  <c r="N28" i="19"/>
  <c r="O28" i="19" s="1"/>
  <c r="N32" i="19"/>
  <c r="O32" i="19" s="1"/>
  <c r="N52" i="19"/>
  <c r="O52" i="19" s="1"/>
  <c r="N84" i="19"/>
  <c r="O84" i="19" s="1"/>
  <c r="N77" i="19"/>
  <c r="O77" i="19" s="1"/>
  <c r="N147" i="19"/>
  <c r="O147" i="19" s="1"/>
  <c r="N117" i="19"/>
  <c r="O117" i="19" s="1"/>
  <c r="N187" i="19"/>
  <c r="O187" i="19" s="1"/>
  <c r="N94" i="19"/>
  <c r="O94" i="19" s="1"/>
  <c r="N102" i="19"/>
  <c r="O102" i="19" s="1"/>
  <c r="N110" i="19"/>
  <c r="O110" i="19" s="1"/>
  <c r="N198" i="19"/>
  <c r="O198" i="19" s="1"/>
  <c r="N98" i="19"/>
  <c r="O98" i="19" s="1"/>
  <c r="N122" i="19"/>
  <c r="O122" i="19" s="1"/>
  <c r="N54" i="19"/>
  <c r="O54" i="19" s="1"/>
  <c r="N82" i="19"/>
  <c r="O82" i="19" s="1"/>
  <c r="N106" i="19"/>
  <c r="O106" i="19" s="1"/>
  <c r="N114" i="19"/>
  <c r="O114" i="19" s="1"/>
  <c r="N21" i="19"/>
  <c r="O21" i="19" s="1"/>
  <c r="N41" i="19"/>
  <c r="O41" i="19" s="1"/>
  <c r="N61" i="19"/>
  <c r="O61" i="19" s="1"/>
  <c r="N65" i="19"/>
  <c r="O65" i="19" s="1"/>
  <c r="N81" i="19"/>
  <c r="O81" i="19" s="1"/>
  <c r="N85" i="19"/>
  <c r="O85" i="19" s="1"/>
  <c r="N157" i="19"/>
  <c r="O157" i="19" s="1"/>
  <c r="N165" i="19"/>
  <c r="O165" i="19" s="1"/>
  <c r="N173" i="19"/>
  <c r="O173" i="19" s="1"/>
  <c r="N186" i="19"/>
  <c r="O186" i="19" s="1"/>
  <c r="N189" i="19"/>
  <c r="O189" i="19" s="1"/>
  <c r="N53" i="19"/>
  <c r="O53" i="19" s="1"/>
  <c r="N69" i="19"/>
  <c r="O69" i="19" s="1"/>
  <c r="N202" i="19"/>
  <c r="O202" i="19" s="1"/>
  <c r="N37" i="19"/>
  <c r="O37" i="19" s="1"/>
  <c r="N57" i="19"/>
  <c r="O57" i="19" s="1"/>
  <c r="N153" i="19"/>
  <c r="O153" i="19" s="1"/>
  <c r="N161" i="19"/>
  <c r="O161" i="19" s="1"/>
  <c r="N169" i="19"/>
  <c r="O169" i="19" s="1"/>
  <c r="N9" i="19"/>
  <c r="O9" i="19" s="1"/>
  <c r="N10" i="19"/>
  <c r="O10" i="19" s="1"/>
  <c r="N8" i="19"/>
  <c r="O8" i="19" s="1"/>
  <c r="N20" i="19"/>
  <c r="O20" i="19" s="1"/>
  <c r="N16" i="19"/>
  <c r="O16" i="19" s="1"/>
  <c r="L5" i="19"/>
  <c r="N5" i="19" s="1"/>
  <c r="O5" i="19" s="1"/>
  <c r="N83" i="19"/>
  <c r="O83" i="19" s="1"/>
  <c r="N33" i="19"/>
  <c r="O33" i="19" s="1"/>
  <c r="N49" i="19"/>
  <c r="O49" i="19" s="1"/>
  <c r="N50" i="19"/>
  <c r="O50" i="19" s="1"/>
  <c r="N59" i="19"/>
  <c r="O59" i="19" s="1"/>
  <c r="N64" i="19"/>
  <c r="O64" i="19" s="1"/>
  <c r="N76" i="19"/>
  <c r="O76" i="19" s="1"/>
  <c r="N86" i="19"/>
  <c r="O86" i="19" s="1"/>
  <c r="N15" i="19"/>
  <c r="O15" i="19" s="1"/>
  <c r="N29" i="19"/>
  <c r="O29" i="19" s="1"/>
  <c r="N30" i="19"/>
  <c r="O30" i="19" s="1"/>
  <c r="N31" i="19"/>
  <c r="O31" i="19" s="1"/>
  <c r="N45" i="19"/>
  <c r="O45" i="19" s="1"/>
  <c r="N47" i="19"/>
  <c r="O47" i="19" s="1"/>
  <c r="N56" i="19"/>
  <c r="O56" i="19" s="1"/>
  <c r="N62" i="19"/>
  <c r="O62" i="19" s="1"/>
  <c r="N63" i="19"/>
  <c r="O63" i="19" s="1"/>
  <c r="N68" i="19"/>
  <c r="O68" i="19" s="1"/>
  <c r="N74" i="19"/>
  <c r="O74" i="19" s="1"/>
  <c r="N75" i="19"/>
  <c r="O75" i="19" s="1"/>
  <c r="N80" i="19"/>
  <c r="O80" i="19" s="1"/>
  <c r="N88" i="19"/>
  <c r="O88" i="19" s="1"/>
  <c r="N96" i="19"/>
  <c r="O96" i="19" s="1"/>
  <c r="N100" i="19"/>
  <c r="O100" i="19" s="1"/>
  <c r="N121" i="19"/>
  <c r="O121" i="19" s="1"/>
  <c r="N89" i="19"/>
  <c r="O89" i="19" s="1"/>
  <c r="N93" i="19"/>
  <c r="O93" i="19" s="1"/>
  <c r="N97" i="19"/>
  <c r="O97" i="19" s="1"/>
  <c r="N101" i="19"/>
  <c r="O101" i="19" s="1"/>
  <c r="N105" i="19"/>
  <c r="O105" i="19" s="1"/>
  <c r="N109" i="19"/>
  <c r="O109" i="19" s="1"/>
  <c r="N113" i="19"/>
  <c r="O113" i="19" s="1"/>
  <c r="N118" i="19"/>
  <c r="O118" i="19" s="1"/>
  <c r="N123" i="19"/>
  <c r="O123" i="19" s="1"/>
  <c r="N92" i="19"/>
  <c r="O92" i="19" s="1"/>
  <c r="N116" i="19"/>
  <c r="O116" i="19" s="1"/>
  <c r="N125" i="19"/>
  <c r="O125" i="19" s="1"/>
  <c r="N130" i="19"/>
  <c r="O130" i="19" s="1"/>
  <c r="N133" i="19"/>
  <c r="O133" i="19" s="1"/>
  <c r="N141" i="19"/>
  <c r="O141" i="19" s="1"/>
  <c r="N146" i="19"/>
  <c r="O146" i="19" s="1"/>
  <c r="N149" i="19"/>
  <c r="O149" i="19" s="1"/>
  <c r="N124" i="19"/>
  <c r="O124" i="19" s="1"/>
  <c r="N135" i="19"/>
  <c r="O135" i="19" s="1"/>
  <c r="N140" i="19"/>
  <c r="O140" i="19" s="1"/>
  <c r="N143" i="19"/>
  <c r="O143" i="19" s="1"/>
  <c r="N151" i="19"/>
  <c r="O151" i="19" s="1"/>
  <c r="N129" i="19"/>
  <c r="O129" i="19" s="1"/>
  <c r="N137" i="19"/>
  <c r="O137" i="19" s="1"/>
  <c r="N145" i="19"/>
  <c r="O145" i="19" s="1"/>
  <c r="N150" i="19"/>
  <c r="O150" i="19" s="1"/>
  <c r="N177" i="19"/>
  <c r="O177" i="19" s="1"/>
  <c r="N193" i="19"/>
  <c r="O193" i="19" s="1"/>
  <c r="N155" i="19"/>
  <c r="O155" i="19" s="1"/>
  <c r="N159" i="19"/>
  <c r="O159" i="19" s="1"/>
  <c r="N163" i="19"/>
  <c r="O163" i="19" s="1"/>
  <c r="N167" i="19"/>
  <c r="O167" i="19" s="1"/>
  <c r="N171" i="19"/>
  <c r="O171" i="19" s="1"/>
  <c r="N174" i="19"/>
  <c r="O174" i="19" s="1"/>
  <c r="N176" i="19"/>
  <c r="O176" i="19" s="1"/>
  <c r="N179" i="19"/>
  <c r="O179" i="19" s="1"/>
  <c r="N181" i="19"/>
  <c r="O181" i="19" s="1"/>
  <c r="N190" i="19"/>
  <c r="O190" i="19" s="1"/>
  <c r="N192" i="19"/>
  <c r="O192" i="19" s="1"/>
  <c r="N195" i="19"/>
  <c r="O195" i="19" s="1"/>
  <c r="N197" i="19"/>
  <c r="O197" i="19" s="1"/>
  <c r="N126" i="19"/>
  <c r="O126" i="19" s="1"/>
  <c r="N154" i="19"/>
  <c r="O154" i="19" s="1"/>
  <c r="N158" i="19"/>
  <c r="O158" i="19" s="1"/>
  <c r="N170" i="19"/>
  <c r="O170" i="19" s="1"/>
  <c r="N178" i="19"/>
  <c r="O178" i="19" s="1"/>
  <c r="N180" i="19"/>
  <c r="O180" i="19" s="1"/>
  <c r="N183" i="19"/>
  <c r="O183" i="19" s="1"/>
  <c r="N185" i="19"/>
  <c r="O185" i="19" s="1"/>
  <c r="N194" i="19"/>
  <c r="O194" i="19" s="1"/>
  <c r="N196" i="19"/>
  <c r="O196" i="19" s="1"/>
  <c r="N201" i="19"/>
  <c r="O201" i="19" s="1"/>
  <c r="M201" i="2"/>
  <c r="M197" i="2"/>
  <c r="M193" i="2"/>
  <c r="M189" i="2"/>
  <c r="M185" i="2"/>
  <c r="M181" i="2"/>
  <c r="M177" i="2"/>
  <c r="M173" i="2"/>
  <c r="M169" i="2"/>
  <c r="M165" i="2"/>
  <c r="Q1" i="2" l="1"/>
  <c r="O1" i="2"/>
  <c r="M203" i="2"/>
  <c r="J194" i="2" l="1"/>
  <c r="J195" i="2"/>
  <c r="J196" i="2"/>
  <c r="J197" i="2"/>
  <c r="J198" i="2"/>
  <c r="J199" i="2"/>
  <c r="J200" i="2"/>
  <c r="J201" i="2"/>
  <c r="J202" i="2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K37" i="2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5" i="2"/>
  <c r="K5" i="2" s="1"/>
  <c r="M117" i="2" l="1"/>
  <c r="M123" i="2"/>
  <c r="M107" i="2"/>
  <c r="H93" i="2"/>
  <c r="I93" i="2"/>
  <c r="H94" i="2"/>
  <c r="I94" i="2"/>
  <c r="H95" i="2"/>
  <c r="I95" i="2"/>
  <c r="H96" i="2"/>
  <c r="I96" i="2"/>
  <c r="H97" i="2"/>
  <c r="L97" i="2" s="1"/>
  <c r="M97" i="2" s="1"/>
  <c r="I97" i="2"/>
  <c r="H98" i="2"/>
  <c r="I98" i="2"/>
  <c r="H99" i="2"/>
  <c r="L99" i="2" s="1"/>
  <c r="M99" i="2" s="1"/>
  <c r="I99" i="2"/>
  <c r="H100" i="2"/>
  <c r="I100" i="2"/>
  <c r="H101" i="2"/>
  <c r="L101" i="2" s="1"/>
  <c r="M101" i="2" s="1"/>
  <c r="I101" i="2"/>
  <c r="H102" i="2"/>
  <c r="I102" i="2"/>
  <c r="H103" i="2"/>
  <c r="L103" i="2" s="1"/>
  <c r="M103" i="2" s="1"/>
  <c r="I103" i="2"/>
  <c r="H104" i="2"/>
  <c r="I104" i="2"/>
  <c r="H105" i="2"/>
  <c r="L105" i="2" s="1"/>
  <c r="M105" i="2" s="1"/>
  <c r="I105" i="2"/>
  <c r="H106" i="2"/>
  <c r="I106" i="2"/>
  <c r="H107" i="2"/>
  <c r="L107" i="2" s="1"/>
  <c r="I107" i="2"/>
  <c r="H108" i="2"/>
  <c r="I108" i="2"/>
  <c r="H109" i="2"/>
  <c r="L109" i="2" s="1"/>
  <c r="M109" i="2" s="1"/>
  <c r="I109" i="2"/>
  <c r="H110" i="2"/>
  <c r="I110" i="2"/>
  <c r="H111" i="2"/>
  <c r="L111" i="2" s="1"/>
  <c r="M111" i="2" s="1"/>
  <c r="I111" i="2"/>
  <c r="H112" i="2"/>
  <c r="I112" i="2"/>
  <c r="H113" i="2"/>
  <c r="L113" i="2" s="1"/>
  <c r="M113" i="2" s="1"/>
  <c r="I113" i="2"/>
  <c r="H114" i="2"/>
  <c r="I114" i="2"/>
  <c r="H115" i="2"/>
  <c r="L115" i="2" s="1"/>
  <c r="M115" i="2" s="1"/>
  <c r="I115" i="2"/>
  <c r="H116" i="2"/>
  <c r="I116" i="2"/>
  <c r="H117" i="2"/>
  <c r="L117" i="2" s="1"/>
  <c r="I117" i="2"/>
  <c r="H118" i="2"/>
  <c r="I118" i="2"/>
  <c r="H119" i="2"/>
  <c r="L119" i="2" s="1"/>
  <c r="M119" i="2" s="1"/>
  <c r="I119" i="2"/>
  <c r="H120" i="2"/>
  <c r="I120" i="2"/>
  <c r="H121" i="2"/>
  <c r="L121" i="2" s="1"/>
  <c r="M121" i="2" s="1"/>
  <c r="I121" i="2"/>
  <c r="H122" i="2"/>
  <c r="I122" i="2"/>
  <c r="H123" i="2"/>
  <c r="L123" i="2" s="1"/>
  <c r="I123" i="2"/>
  <c r="H124" i="2"/>
  <c r="I124" i="2"/>
  <c r="H125" i="2"/>
  <c r="L125" i="2" s="1"/>
  <c r="M125" i="2" s="1"/>
  <c r="I125" i="2"/>
  <c r="H126" i="2"/>
  <c r="I126" i="2"/>
  <c r="H127" i="2"/>
  <c r="L127" i="2" s="1"/>
  <c r="M127" i="2" s="1"/>
  <c r="I127" i="2"/>
  <c r="H128" i="2"/>
  <c r="I128" i="2"/>
  <c r="H129" i="2"/>
  <c r="L129" i="2" s="1"/>
  <c r="M129" i="2" s="1"/>
  <c r="I129" i="2"/>
  <c r="H130" i="2"/>
  <c r="I130" i="2"/>
  <c r="H131" i="2"/>
  <c r="L131" i="2" s="1"/>
  <c r="M131" i="2" s="1"/>
  <c r="I131" i="2"/>
  <c r="H132" i="2"/>
  <c r="I132" i="2"/>
  <c r="H133" i="2"/>
  <c r="L133" i="2" s="1"/>
  <c r="M133" i="2" s="1"/>
  <c r="I133" i="2"/>
  <c r="H134" i="2"/>
  <c r="I134" i="2"/>
  <c r="H135" i="2"/>
  <c r="L135" i="2" s="1"/>
  <c r="M135" i="2" s="1"/>
  <c r="I135" i="2"/>
  <c r="H136" i="2"/>
  <c r="I136" i="2"/>
  <c r="H137" i="2"/>
  <c r="L137" i="2" s="1"/>
  <c r="M137" i="2" s="1"/>
  <c r="I137" i="2"/>
  <c r="H138" i="2"/>
  <c r="I138" i="2"/>
  <c r="H139" i="2"/>
  <c r="L139" i="2" s="1"/>
  <c r="M139" i="2" s="1"/>
  <c r="I139" i="2"/>
  <c r="H140" i="2"/>
  <c r="I140" i="2"/>
  <c r="H141" i="2"/>
  <c r="L141" i="2" s="1"/>
  <c r="M141" i="2" s="1"/>
  <c r="I141" i="2"/>
  <c r="H142" i="2"/>
  <c r="I142" i="2"/>
  <c r="H143" i="2"/>
  <c r="L143" i="2" s="1"/>
  <c r="M143" i="2" s="1"/>
  <c r="I143" i="2"/>
  <c r="H144" i="2"/>
  <c r="I144" i="2"/>
  <c r="H145" i="2"/>
  <c r="L145" i="2" s="1"/>
  <c r="M145" i="2" s="1"/>
  <c r="I145" i="2"/>
  <c r="H146" i="2"/>
  <c r="I146" i="2"/>
  <c r="H147" i="2"/>
  <c r="L147" i="2" s="1"/>
  <c r="M147" i="2" s="1"/>
  <c r="I147" i="2"/>
  <c r="H148" i="2"/>
  <c r="I148" i="2"/>
  <c r="H149" i="2"/>
  <c r="L149" i="2" s="1"/>
  <c r="M149" i="2" s="1"/>
  <c r="I149" i="2"/>
  <c r="H150" i="2"/>
  <c r="I150" i="2"/>
  <c r="H151" i="2"/>
  <c r="L151" i="2" s="1"/>
  <c r="M151" i="2" s="1"/>
  <c r="I151" i="2"/>
  <c r="H152" i="2"/>
  <c r="I152" i="2"/>
  <c r="H153" i="2"/>
  <c r="L153" i="2" s="1"/>
  <c r="M153" i="2" s="1"/>
  <c r="I153" i="2"/>
  <c r="H154" i="2"/>
  <c r="I154" i="2"/>
  <c r="H155" i="2"/>
  <c r="L155" i="2" s="1"/>
  <c r="M155" i="2" s="1"/>
  <c r="I155" i="2"/>
  <c r="H156" i="2"/>
  <c r="I156" i="2"/>
  <c r="H157" i="2"/>
  <c r="L157" i="2" s="1"/>
  <c r="M157" i="2" s="1"/>
  <c r="I157" i="2"/>
  <c r="H158" i="2"/>
  <c r="I158" i="2"/>
  <c r="H159" i="2"/>
  <c r="L159" i="2" s="1"/>
  <c r="M159" i="2" s="1"/>
  <c r="I159" i="2"/>
  <c r="H160" i="2"/>
  <c r="I160" i="2"/>
  <c r="H161" i="2"/>
  <c r="L161" i="2" s="1"/>
  <c r="M161" i="2" s="1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L158" i="2" l="1"/>
  <c r="M158" i="2" s="1"/>
  <c r="N158" i="2" s="1"/>
  <c r="L154" i="2"/>
  <c r="M154" i="2" s="1"/>
  <c r="N154" i="2" s="1"/>
  <c r="L150" i="2"/>
  <c r="M150" i="2" s="1"/>
  <c r="N150" i="2" s="1"/>
  <c r="L146" i="2"/>
  <c r="M146" i="2" s="1"/>
  <c r="N146" i="2" s="1"/>
  <c r="L142" i="2"/>
  <c r="M142" i="2" s="1"/>
  <c r="N142" i="2" s="1"/>
  <c r="L138" i="2"/>
  <c r="M138" i="2" s="1"/>
  <c r="N138" i="2" s="1"/>
  <c r="L136" i="2"/>
  <c r="M136" i="2" s="1"/>
  <c r="N136" i="2" s="1"/>
  <c r="L134" i="2"/>
  <c r="M134" i="2" s="1"/>
  <c r="N134" i="2" s="1"/>
  <c r="L132" i="2"/>
  <c r="M132" i="2" s="1"/>
  <c r="N132" i="2" s="1"/>
  <c r="L128" i="2"/>
  <c r="M128" i="2" s="1"/>
  <c r="N128" i="2" s="1"/>
  <c r="L126" i="2"/>
  <c r="M126" i="2" s="1"/>
  <c r="N126" i="2" s="1"/>
  <c r="L124" i="2"/>
  <c r="M124" i="2" s="1"/>
  <c r="N124" i="2" s="1"/>
  <c r="L122" i="2"/>
  <c r="M122" i="2" s="1"/>
  <c r="N122" i="2" s="1"/>
  <c r="L120" i="2"/>
  <c r="M120" i="2" s="1"/>
  <c r="N120" i="2" s="1"/>
  <c r="L118" i="2"/>
  <c r="M118" i="2" s="1"/>
  <c r="N118" i="2" s="1"/>
  <c r="L116" i="2"/>
  <c r="M116" i="2" s="1"/>
  <c r="N116" i="2" s="1"/>
  <c r="L114" i="2"/>
  <c r="M114" i="2" s="1"/>
  <c r="N114" i="2" s="1"/>
  <c r="L112" i="2"/>
  <c r="M112" i="2" s="1"/>
  <c r="N112" i="2" s="1"/>
  <c r="L110" i="2"/>
  <c r="M110" i="2" s="1"/>
  <c r="N110" i="2" s="1"/>
  <c r="L108" i="2"/>
  <c r="M108" i="2" s="1"/>
  <c r="N108" i="2" s="1"/>
  <c r="L106" i="2"/>
  <c r="M106" i="2" s="1"/>
  <c r="N106" i="2" s="1"/>
  <c r="L104" i="2"/>
  <c r="M104" i="2" s="1"/>
  <c r="N104" i="2" s="1"/>
  <c r="L102" i="2"/>
  <c r="M102" i="2" s="1"/>
  <c r="N102" i="2" s="1"/>
  <c r="L100" i="2"/>
  <c r="M100" i="2" s="1"/>
  <c r="N100" i="2" s="1"/>
  <c r="L98" i="2"/>
  <c r="M98" i="2" s="1"/>
  <c r="N98" i="2" s="1"/>
  <c r="L96" i="2"/>
  <c r="M96" i="2" s="1"/>
  <c r="N96" i="2" s="1"/>
  <c r="L94" i="2"/>
  <c r="M94" i="2" s="1"/>
  <c r="N94" i="2" s="1"/>
  <c r="L160" i="2"/>
  <c r="M160" i="2" s="1"/>
  <c r="N160" i="2" s="1"/>
  <c r="L156" i="2"/>
  <c r="M156" i="2" s="1"/>
  <c r="N156" i="2" s="1"/>
  <c r="L152" i="2"/>
  <c r="M152" i="2" s="1"/>
  <c r="N152" i="2" s="1"/>
  <c r="L148" i="2"/>
  <c r="M148" i="2" s="1"/>
  <c r="N148" i="2" s="1"/>
  <c r="L144" i="2"/>
  <c r="M144" i="2" s="1"/>
  <c r="N144" i="2" s="1"/>
  <c r="L140" i="2"/>
  <c r="M140" i="2" s="1"/>
  <c r="N140" i="2" s="1"/>
  <c r="L130" i="2"/>
  <c r="M130" i="2" s="1"/>
  <c r="N130" i="2" s="1"/>
  <c r="L95" i="2"/>
  <c r="M95" i="2" s="1"/>
  <c r="N95" i="2" s="1"/>
  <c r="L93" i="2"/>
  <c r="M93" i="2" s="1"/>
  <c r="N93" i="2" s="1"/>
  <c r="N192" i="2"/>
  <c r="N174" i="2"/>
  <c r="N170" i="2"/>
  <c r="N201" i="2"/>
  <c r="N199" i="2"/>
  <c r="N197" i="2"/>
  <c r="N195" i="2"/>
  <c r="N193" i="2"/>
  <c r="N191" i="2"/>
  <c r="N189" i="2"/>
  <c r="N187" i="2"/>
  <c r="N185" i="2"/>
  <c r="N183" i="2"/>
  <c r="N181" i="2"/>
  <c r="N179" i="2"/>
  <c r="N177" i="2"/>
  <c r="N175" i="2"/>
  <c r="N173" i="2"/>
  <c r="N171" i="2"/>
  <c r="N169" i="2"/>
  <c r="N167" i="2"/>
  <c r="N165" i="2"/>
  <c r="N163" i="2"/>
  <c r="N161" i="2"/>
  <c r="N159" i="2"/>
  <c r="N157" i="2"/>
  <c r="N155" i="2"/>
  <c r="N153" i="2"/>
  <c r="N151" i="2"/>
  <c r="N149" i="2"/>
  <c r="N147" i="2"/>
  <c r="N145" i="2"/>
  <c r="N143" i="2"/>
  <c r="N141" i="2"/>
  <c r="N139" i="2"/>
  <c r="N137" i="2"/>
  <c r="N135" i="2"/>
  <c r="N133" i="2"/>
  <c r="N131" i="2"/>
  <c r="N129" i="2"/>
  <c r="N127" i="2"/>
  <c r="N125" i="2"/>
  <c r="N123" i="2"/>
  <c r="N121" i="2"/>
  <c r="N119" i="2"/>
  <c r="N117" i="2"/>
  <c r="N115" i="2"/>
  <c r="N113" i="2"/>
  <c r="N111" i="2"/>
  <c r="N109" i="2"/>
  <c r="N107" i="2"/>
  <c r="N105" i="2"/>
  <c r="N103" i="2"/>
  <c r="N101" i="2"/>
  <c r="N99" i="2"/>
  <c r="N97" i="2"/>
  <c r="N200" i="2"/>
  <c r="N196" i="2"/>
  <c r="N188" i="2"/>
  <c r="N182" i="2"/>
  <c r="N178" i="2"/>
  <c r="N166" i="2"/>
  <c r="N162" i="2"/>
  <c r="N202" i="2"/>
  <c r="N198" i="2"/>
  <c r="N194" i="2"/>
  <c r="N190" i="2"/>
  <c r="N186" i="2"/>
  <c r="N184" i="2"/>
  <c r="N180" i="2"/>
  <c r="N176" i="2"/>
  <c r="N172" i="2"/>
  <c r="N168" i="2"/>
  <c r="N164" i="2"/>
  <c r="H18" i="2"/>
  <c r="H17" i="2"/>
  <c r="H32" i="2" l="1"/>
  <c r="I32" i="2"/>
  <c r="H33" i="2"/>
  <c r="L33" i="2" s="1"/>
  <c r="M33" i="2" s="1"/>
  <c r="I33" i="2"/>
  <c r="H34" i="2"/>
  <c r="I34" i="2"/>
  <c r="L32" i="2" l="1"/>
  <c r="L34" i="2"/>
  <c r="N33" i="2"/>
  <c r="M34" i="2" l="1"/>
  <c r="N34" i="2" s="1"/>
  <c r="M32" i="2"/>
  <c r="N32" i="2" s="1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I17" i="2"/>
  <c r="L17" i="2" s="1"/>
  <c r="M17" i="2" s="1"/>
  <c r="I18" i="2"/>
  <c r="L18" i="2" s="1"/>
  <c r="M18" i="2" s="1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L90" i="2" l="1"/>
  <c r="M90" i="2" s="1"/>
  <c r="N90" i="2" s="1"/>
  <c r="L86" i="2"/>
  <c r="M86" i="2" s="1"/>
  <c r="N86" i="2" s="1"/>
  <c r="L72" i="2"/>
  <c r="M72" i="2" s="1"/>
  <c r="N72" i="2" s="1"/>
  <c r="L70" i="2"/>
  <c r="M70" i="2" s="1"/>
  <c r="N70" i="2" s="1"/>
  <c r="L68" i="2"/>
  <c r="M68" i="2" s="1"/>
  <c r="N68" i="2" s="1"/>
  <c r="L66" i="2"/>
  <c r="M66" i="2" s="1"/>
  <c r="N66" i="2" s="1"/>
  <c r="L64" i="2"/>
  <c r="M64" i="2" s="1"/>
  <c r="N64" i="2" s="1"/>
  <c r="L62" i="2"/>
  <c r="M62" i="2" s="1"/>
  <c r="N62" i="2" s="1"/>
  <c r="L60" i="2"/>
  <c r="M60" i="2" s="1"/>
  <c r="N60" i="2" s="1"/>
  <c r="L58" i="2"/>
  <c r="M58" i="2" s="1"/>
  <c r="N58" i="2" s="1"/>
  <c r="L56" i="2"/>
  <c r="M56" i="2" s="1"/>
  <c r="N56" i="2" s="1"/>
  <c r="L54" i="2"/>
  <c r="M54" i="2" s="1"/>
  <c r="N54" i="2" s="1"/>
  <c r="L52" i="2"/>
  <c r="M52" i="2" s="1"/>
  <c r="N52" i="2" s="1"/>
  <c r="L50" i="2"/>
  <c r="M50" i="2" s="1"/>
  <c r="N50" i="2" s="1"/>
  <c r="L48" i="2"/>
  <c r="M48" i="2" s="1"/>
  <c r="N48" i="2" s="1"/>
  <c r="L46" i="2"/>
  <c r="M46" i="2" s="1"/>
  <c r="N46" i="2" s="1"/>
  <c r="L44" i="2"/>
  <c r="M44" i="2" s="1"/>
  <c r="N44" i="2" s="1"/>
  <c r="L42" i="2"/>
  <c r="M42" i="2" s="1"/>
  <c r="N42" i="2" s="1"/>
  <c r="L40" i="2"/>
  <c r="M40" i="2" s="1"/>
  <c r="N40" i="2" s="1"/>
  <c r="L38" i="2"/>
  <c r="M38" i="2" s="1"/>
  <c r="N38" i="2" s="1"/>
  <c r="L84" i="2"/>
  <c r="M84" i="2" s="1"/>
  <c r="N84" i="2" s="1"/>
  <c r="L92" i="2"/>
  <c r="M92" i="2" s="1"/>
  <c r="N92" i="2" s="1"/>
  <c r="L88" i="2"/>
  <c r="M88" i="2" s="1"/>
  <c r="N88" i="2" s="1"/>
  <c r="L91" i="2"/>
  <c r="M91" i="2" s="1"/>
  <c r="N91" i="2" s="1"/>
  <c r="L89" i="2"/>
  <c r="M89" i="2" s="1"/>
  <c r="N89" i="2" s="1"/>
  <c r="L87" i="2"/>
  <c r="M87" i="2" s="1"/>
  <c r="N87" i="2" s="1"/>
  <c r="L77" i="2"/>
  <c r="M77" i="2" s="1"/>
  <c r="N77" i="2" s="1"/>
  <c r="L85" i="2"/>
  <c r="M85" i="2" s="1"/>
  <c r="N85" i="2" s="1"/>
  <c r="L83" i="2"/>
  <c r="M83" i="2" s="1"/>
  <c r="N83" i="2" s="1"/>
  <c r="L82" i="2"/>
  <c r="M82" i="2" s="1"/>
  <c r="N82" i="2" s="1"/>
  <c r="L81" i="2"/>
  <c r="M81" i="2" s="1"/>
  <c r="N81" i="2" s="1"/>
  <c r="L80" i="2"/>
  <c r="M80" i="2" s="1"/>
  <c r="N80" i="2" s="1"/>
  <c r="L79" i="2"/>
  <c r="M79" i="2" s="1"/>
  <c r="N79" i="2" s="1"/>
  <c r="L78" i="2"/>
  <c r="M78" i="2" s="1"/>
  <c r="N78" i="2" s="1"/>
  <c r="L76" i="2"/>
  <c r="M76" i="2" s="1"/>
  <c r="N76" i="2" s="1"/>
  <c r="L74" i="2"/>
  <c r="M74" i="2" s="1"/>
  <c r="N74" i="2" s="1"/>
  <c r="L73" i="2"/>
  <c r="M73" i="2" s="1"/>
  <c r="N73" i="2" s="1"/>
  <c r="L69" i="2"/>
  <c r="M69" i="2" s="1"/>
  <c r="N69" i="2" s="1"/>
  <c r="L63" i="2"/>
  <c r="M63" i="2" s="1"/>
  <c r="N63" i="2" s="1"/>
  <c r="L57" i="2"/>
  <c r="M57" i="2" s="1"/>
  <c r="N57" i="2" s="1"/>
  <c r="L55" i="2"/>
  <c r="M55" i="2" s="1"/>
  <c r="N55" i="2" s="1"/>
  <c r="L53" i="2"/>
  <c r="M53" i="2" s="1"/>
  <c r="N53" i="2" s="1"/>
  <c r="L51" i="2"/>
  <c r="M51" i="2" s="1"/>
  <c r="N51" i="2" s="1"/>
  <c r="L49" i="2"/>
  <c r="M49" i="2" s="1"/>
  <c r="N49" i="2" s="1"/>
  <c r="L47" i="2"/>
  <c r="M47" i="2" s="1"/>
  <c r="N47" i="2" s="1"/>
  <c r="L45" i="2"/>
  <c r="M45" i="2" s="1"/>
  <c r="N45" i="2" s="1"/>
  <c r="L75" i="2"/>
  <c r="M75" i="2" s="1"/>
  <c r="N75" i="2" s="1"/>
  <c r="L71" i="2"/>
  <c r="M71" i="2" s="1"/>
  <c r="N71" i="2" s="1"/>
  <c r="L67" i="2"/>
  <c r="M67" i="2" s="1"/>
  <c r="N67" i="2" s="1"/>
  <c r="L65" i="2"/>
  <c r="M65" i="2" s="1"/>
  <c r="N65" i="2" s="1"/>
  <c r="L61" i="2"/>
  <c r="M61" i="2" s="1"/>
  <c r="N61" i="2" s="1"/>
  <c r="L59" i="2"/>
  <c r="M59" i="2" s="1"/>
  <c r="N59" i="2" s="1"/>
  <c r="L25" i="2"/>
  <c r="M25" i="2" s="1"/>
  <c r="N25" i="2" s="1"/>
  <c r="L23" i="2"/>
  <c r="M23" i="2" s="1"/>
  <c r="N23" i="2" s="1"/>
  <c r="L21" i="2"/>
  <c r="M21" i="2" s="1"/>
  <c r="N21" i="2" s="1"/>
  <c r="L14" i="2"/>
  <c r="M14" i="2" s="1"/>
  <c r="N14" i="2" s="1"/>
  <c r="L12" i="2"/>
  <c r="M12" i="2" s="1"/>
  <c r="N12" i="2" s="1"/>
  <c r="L6" i="2"/>
  <c r="M6" i="2" s="1"/>
  <c r="N6" i="2" s="1"/>
  <c r="L36" i="2"/>
  <c r="L31" i="2"/>
  <c r="M31" i="2" s="1"/>
  <c r="N31" i="2" s="1"/>
  <c r="L29" i="2"/>
  <c r="M29" i="2" s="1"/>
  <c r="N29" i="2" s="1"/>
  <c r="L27" i="2"/>
  <c r="L19" i="2"/>
  <c r="M19" i="2" s="1"/>
  <c r="N19" i="2" s="1"/>
  <c r="L16" i="2"/>
  <c r="L10" i="2"/>
  <c r="L8" i="2"/>
  <c r="L43" i="2"/>
  <c r="M43" i="2" s="1"/>
  <c r="N43" i="2" s="1"/>
  <c r="L41" i="2"/>
  <c r="M41" i="2" s="1"/>
  <c r="N41" i="2" s="1"/>
  <c r="L39" i="2"/>
  <c r="M39" i="2" s="1"/>
  <c r="N39" i="2" s="1"/>
  <c r="L37" i="2"/>
  <c r="L35" i="2"/>
  <c r="L30" i="2"/>
  <c r="L28" i="2"/>
  <c r="L26" i="2"/>
  <c r="L24" i="2"/>
  <c r="L22" i="2"/>
  <c r="L20" i="2"/>
  <c r="L15" i="2"/>
  <c r="L13" i="2"/>
  <c r="L11" i="2"/>
  <c r="L9" i="2"/>
  <c r="L7" i="2"/>
  <c r="N17" i="2"/>
  <c r="N18" i="2"/>
  <c r="H5" i="2"/>
  <c r="I5" i="2"/>
  <c r="M22" i="2" l="1"/>
  <c r="N22" i="2" s="1"/>
  <c r="M30" i="2"/>
  <c r="N30" i="2" s="1"/>
  <c r="M16" i="2"/>
  <c r="N16" i="2" s="1"/>
  <c r="M24" i="2"/>
  <c r="N24" i="2" s="1"/>
  <c r="M7" i="2"/>
  <c r="N7" i="2" s="1"/>
  <c r="M15" i="2"/>
  <c r="N15" i="2" s="1"/>
  <c r="M26" i="2"/>
  <c r="N26" i="2" s="1"/>
  <c r="M37" i="2"/>
  <c r="N37" i="2" s="1"/>
  <c r="M8" i="2"/>
  <c r="N8" i="2" s="1"/>
  <c r="M27" i="2"/>
  <c r="N27" i="2" s="1"/>
  <c r="M11" i="2"/>
  <c r="N11" i="2" s="1"/>
  <c r="M13" i="2"/>
  <c r="N13" i="2" s="1"/>
  <c r="M35" i="2"/>
  <c r="N35" i="2" s="1"/>
  <c r="M36" i="2"/>
  <c r="N36" i="2" s="1"/>
  <c r="M9" i="2"/>
  <c r="N9" i="2" s="1"/>
  <c r="M20" i="2"/>
  <c r="N20" i="2" s="1"/>
  <c r="M28" i="2"/>
  <c r="N28" i="2" s="1"/>
  <c r="M10" i="2"/>
  <c r="N10" i="2" s="1"/>
  <c r="L5" i="2"/>
  <c r="O203" i="2"/>
  <c r="M5" i="2" l="1"/>
  <c r="N5" i="2" s="1"/>
</calcChain>
</file>

<file path=xl/sharedStrings.xml><?xml version="1.0" encoding="utf-8"?>
<sst xmlns="http://schemas.openxmlformats.org/spreadsheetml/2006/main" count="1349" uniqueCount="929">
  <si>
    <t>ITEM CODE</t>
  </si>
  <si>
    <t>QUANTITY</t>
  </si>
  <si>
    <t>WORKORDER</t>
  </si>
  <si>
    <t>RECIEPT</t>
  </si>
  <si>
    <t>OVERALL PRODUCTION</t>
  </si>
  <si>
    <t>L</t>
  </si>
  <si>
    <t>W</t>
  </si>
  <si>
    <t>H</t>
  </si>
  <si>
    <t>REMARKS</t>
  </si>
  <si>
    <t>VARIETY</t>
  </si>
  <si>
    <t>TIME</t>
  </si>
  <si>
    <t>ITEM-CODE</t>
  </si>
  <si>
    <t>C.TIME</t>
  </si>
  <si>
    <t>W.TIME</t>
  </si>
  <si>
    <t>B.TIME</t>
  </si>
  <si>
    <t>L1</t>
  </si>
  <si>
    <t>W2</t>
  </si>
  <si>
    <t>CODE</t>
  </si>
  <si>
    <t>SPK-CT-GR</t>
  </si>
  <si>
    <t>SPK-CT-MR</t>
  </si>
  <si>
    <t>SPK-CT-DB</t>
  </si>
  <si>
    <t>TAT-MRN</t>
  </si>
  <si>
    <t>TAT-DB</t>
  </si>
  <si>
    <t>TAT-GR</t>
  </si>
  <si>
    <t>ORG-BRN</t>
  </si>
  <si>
    <t>CAS-NB</t>
  </si>
  <si>
    <t>CAS-MRN</t>
  </si>
  <si>
    <t>ALR-GR</t>
  </si>
  <si>
    <t>ALR-OR</t>
  </si>
  <si>
    <t>SS-BL</t>
  </si>
  <si>
    <t>SS-RD</t>
  </si>
  <si>
    <t>SS-DB</t>
  </si>
  <si>
    <t>CRY-BG</t>
  </si>
  <si>
    <t>MEM-OR</t>
  </si>
  <si>
    <t>MEM-VL</t>
  </si>
  <si>
    <t>INS-LAT-GRN</t>
  </si>
  <si>
    <t>INS-LAT-PNK</t>
  </si>
  <si>
    <t>KOZ-DB</t>
  </si>
  <si>
    <t>SAN-MEM-ET-GR</t>
  </si>
  <si>
    <t>COM-BG</t>
  </si>
  <si>
    <t>COM-GR</t>
  </si>
  <si>
    <t>COM-PNK</t>
  </si>
  <si>
    <t>SUP-BG</t>
  </si>
  <si>
    <t>SUP-GR</t>
  </si>
  <si>
    <t>VB-BRN</t>
  </si>
  <si>
    <t>COLOUR</t>
  </si>
  <si>
    <t>QTY</t>
  </si>
  <si>
    <t>ITEMCODE</t>
  </si>
  <si>
    <t>SFG-COMNLPNK-BOR-</t>
  </si>
  <si>
    <t>SFG-COMNLBG-BOR-</t>
  </si>
  <si>
    <t>SFG-COMNLGR-BOR-</t>
  </si>
  <si>
    <t>SFG-CASNLMR-BOR-</t>
  </si>
  <si>
    <t>SFG-SUPNLBG-BOR-</t>
  </si>
  <si>
    <t>SFG-SNNLBG-BOR-</t>
  </si>
  <si>
    <t>SFG-SPKNLMR-BOR-</t>
  </si>
  <si>
    <t>SFG-SPKPTMR-BOR-</t>
  </si>
  <si>
    <t>SFG-SPGSR-BOR-</t>
  </si>
  <si>
    <t>SFG-ALRNLOR-BOR-</t>
  </si>
  <si>
    <t>SFG-ALRNLGR-BOR-</t>
  </si>
  <si>
    <t>SFG-CASNLNB-BOR-</t>
  </si>
  <si>
    <t>SFG-INSRBMR-ST-ETBOR-</t>
  </si>
  <si>
    <t>SFG-INSRBGRN-LTX-ETBOR-</t>
  </si>
  <si>
    <t>SFG-INSRBPNK-LTX-ETBOR-</t>
  </si>
  <si>
    <t>SFG-INSRBGRN-LTX-BOR-</t>
  </si>
  <si>
    <t>SFG-INSRBPNK-LTX-BOR-</t>
  </si>
  <si>
    <t>SFG-INSRBBL-MEM-BOR-</t>
  </si>
  <si>
    <t>SFG-INSRBBL-MEM-ETBOR-</t>
  </si>
  <si>
    <t>SFG-INSRBGR-MEM-ETBOR-</t>
  </si>
  <si>
    <t>SFG-INSRBGR-MEM-BOR-</t>
  </si>
  <si>
    <t>SFG-INSRBMR-ST-BOR-</t>
  </si>
  <si>
    <t>SFG-KBZDB-BOR-</t>
  </si>
  <si>
    <t>SFG-MULTDB-BOR-</t>
  </si>
  <si>
    <t>SFG-MULTGR-BOR-</t>
  </si>
  <si>
    <t>SFG-SSFBG-BOR-</t>
  </si>
  <si>
    <t>SFG-VISBONBW-BOR-</t>
  </si>
  <si>
    <t>SFG-MER-GRCY-BOR-QUILT-</t>
  </si>
  <si>
    <t>SFG-ORGBW-BOR-</t>
  </si>
  <si>
    <t>SFG-SUPNLGR-BOR-</t>
  </si>
  <si>
    <t>SFG-TRTPKDB-BOR-</t>
  </si>
  <si>
    <t>SFG-TRTPKGR-BOR-</t>
  </si>
  <si>
    <t>SFG-TRTPKMR-BOR-</t>
  </si>
  <si>
    <t>SFG-ZENFTDB-BOR-</t>
  </si>
  <si>
    <t>SFG-ZENNLDB-BOR-</t>
  </si>
  <si>
    <t>SFG-ZENPTDB-BOR-</t>
  </si>
  <si>
    <t>SFG-GVNLBG-BOR-</t>
  </si>
  <si>
    <t>SFG-GVETBG-BOR-</t>
  </si>
  <si>
    <t>SFG-GVETLB-BOR-</t>
  </si>
  <si>
    <t>SFG-GVNLLB-BOR-</t>
  </si>
  <si>
    <t>SFG-GVPTBG-BOR-</t>
  </si>
  <si>
    <t>SFG-GVPTLB-BOR-</t>
  </si>
  <si>
    <t>SFG-OPNLBG-BOR-</t>
  </si>
  <si>
    <t>SFG-OPETBG-BOR-</t>
  </si>
  <si>
    <t>SFG-OPETLB-BOR-</t>
  </si>
  <si>
    <t>SFG-OPNLLB-BOR-</t>
  </si>
  <si>
    <t>SFG-OPPTBG-BOR-</t>
  </si>
  <si>
    <t>SFG-OPPTLB-BOR-</t>
  </si>
  <si>
    <t>SFG-SNETBG-BOR-</t>
  </si>
  <si>
    <t>SFG-SNETGR-BOR-</t>
  </si>
  <si>
    <t>SFG-SNETMR-BOR-</t>
  </si>
  <si>
    <t>SFG-SNNLGR-BOR-</t>
  </si>
  <si>
    <t>SFG-SNNLMR-BOR-</t>
  </si>
  <si>
    <t>SFG-SANMFETGR-BOR-</t>
  </si>
  <si>
    <t>SFG-SANMFETPUR-BOR-</t>
  </si>
  <si>
    <t>SFG-SANMFNLGR-BOR-</t>
  </si>
  <si>
    <t>SFG-SANMFNLPUR-BOR-</t>
  </si>
  <si>
    <t>SFG-SANMFPTGR-BOR-</t>
  </si>
  <si>
    <t>SFG-SANMFPTPUR-BOR-</t>
  </si>
  <si>
    <t>SFG-SNPTBG-BOR-</t>
  </si>
  <si>
    <t>SFG-SNPTGR-BOR-</t>
  </si>
  <si>
    <t>SFG-SNPTMR-BOR-</t>
  </si>
  <si>
    <t>SFG-CRYBG-BOR-</t>
  </si>
  <si>
    <t>SFG-CRYPW-BOR-</t>
  </si>
  <si>
    <t>SFG-FRBNET-BOR-</t>
  </si>
  <si>
    <t>SFG-FRBNET-MEM-BOR-</t>
  </si>
  <si>
    <t>SFG-FRBNRG-MEM-BOR-</t>
  </si>
  <si>
    <t>SFG-FRBNPT-BOR-</t>
  </si>
  <si>
    <t>SFG-FRBNRG-BOR-</t>
  </si>
  <si>
    <t>SFG-FRPKET-BOR-</t>
  </si>
  <si>
    <t>SFG-FRPKET-MEM-BOR-</t>
  </si>
  <si>
    <t>SFG-FRPKRG-MEM-BOR-</t>
  </si>
  <si>
    <t>SFG-FRPKPT-BOR-</t>
  </si>
  <si>
    <t>SFG-FRPKRG-BOR-</t>
  </si>
  <si>
    <t>SFG-TNDR-BOR-</t>
  </si>
  <si>
    <t>SFG-ARETBW-BOR-</t>
  </si>
  <si>
    <t>SFG-ARETGR-BOR-</t>
  </si>
  <si>
    <t>SFG-ARPLLB-BOR-</t>
  </si>
  <si>
    <t>SFG-ARNLBW-BOR-</t>
  </si>
  <si>
    <t>SFG-ARNLGR-BOR-</t>
  </si>
  <si>
    <t>SFG-ARDPLMFETBL-BOR-</t>
  </si>
  <si>
    <t>SFG-ARDPLMFETGR-BOR-</t>
  </si>
  <si>
    <t>SFG-ARDPLMFNLBL-BOR-</t>
  </si>
  <si>
    <t>SFG-ARDPLMFNLGR-BOR-</t>
  </si>
  <si>
    <t>SFG-ARDPLMFPTBL-BOR-</t>
  </si>
  <si>
    <t>SFG-ARDPLMFPTGR-BOR-</t>
  </si>
  <si>
    <t>SFG-CLETCR-BOR-</t>
  </si>
  <si>
    <t>SFG-CLETLB-BOR-</t>
  </si>
  <si>
    <t>SFG-CLPLCR-BOR-</t>
  </si>
  <si>
    <t>SFG-CLNLCR-BOR-</t>
  </si>
  <si>
    <t>SFG-CLNLLB-BOR-</t>
  </si>
  <si>
    <t>SFG-CAMNLPEB-MILVIB-BOR-</t>
  </si>
  <si>
    <t>SFG-CAMST-COSMIC-BOR-</t>
  </si>
  <si>
    <t>SFG-CAMST-HALOS-BOR-</t>
  </si>
  <si>
    <t>SFG-CAMNLSTO-MILVIB-BOR-</t>
  </si>
  <si>
    <t>SFG-CAMULST-COSMIC-BOR-</t>
  </si>
  <si>
    <t>SFG-CAMULST-HALOS-BOR-</t>
  </si>
  <si>
    <t>SFG-DDCR-BOR-</t>
  </si>
  <si>
    <t>SFG-FTETBW-BOR-</t>
  </si>
  <si>
    <t>SFG-FTETLB-BOR-</t>
  </si>
  <si>
    <t>SFG-FTNLBW-BOR-</t>
  </si>
  <si>
    <t>SFG-FTNLLB-BOR-</t>
  </si>
  <si>
    <t>SFG-GPBW-BOR-</t>
  </si>
  <si>
    <t>SFG-GPGR-BOR-</t>
  </si>
  <si>
    <t>SFG-VIVAHCR-BOR-</t>
  </si>
  <si>
    <t>SFG-SPKCTDB-BOR-</t>
  </si>
  <si>
    <t>SFG-SPKCTGR-BOR-</t>
  </si>
  <si>
    <t>SFG-SPKCTMR-BOR-</t>
  </si>
  <si>
    <t>SFG-SPKNLBW-BOR-</t>
  </si>
  <si>
    <t>SFG-SPKNLCR-BOR-</t>
  </si>
  <si>
    <t>SFG-SPKNLDB-BOR-</t>
  </si>
  <si>
    <t>SFG-SPKKFNLBG-BOR-</t>
  </si>
  <si>
    <t>SFG-SPKNLKFBG-BOR-</t>
  </si>
  <si>
    <t>SFG-SPKKFNLBW-BOR-</t>
  </si>
  <si>
    <t>SFG-SPKKFNLCR-BOR-</t>
  </si>
  <si>
    <t>SFG-SPKKFNLDB-BOR-</t>
  </si>
  <si>
    <t>SFG-SPKKFNLLG-BOR-</t>
  </si>
  <si>
    <t>SFG-SPKNLKFLG-BOR-</t>
  </si>
  <si>
    <t>SFG-SPKKFNLMR-BOR-</t>
  </si>
  <si>
    <t>SFG-SPKPTBW-BOR-</t>
  </si>
  <si>
    <t>SFG-SPKPTCR-BOR-</t>
  </si>
  <si>
    <t>SFG-SPKPTDB-BOR-</t>
  </si>
  <si>
    <t>SFG-SSFBL-BOR-</t>
  </si>
  <si>
    <t>SFG-SSFDB-BOR-</t>
  </si>
  <si>
    <t>SFG-SSFRD-BOR-</t>
  </si>
  <si>
    <t>SFG-SPGFM-BOR-</t>
  </si>
  <si>
    <t>S.NO</t>
  </si>
  <si>
    <t>SPG-</t>
  </si>
  <si>
    <t>SPK-NL-MRN</t>
  </si>
  <si>
    <t>SPK-PT-MRN</t>
  </si>
  <si>
    <t>INS-MEM-ET-MRN</t>
  </si>
  <si>
    <t>INS-LAT-ET-GRN</t>
  </si>
  <si>
    <t>INS-LAT-ET-PNK</t>
  </si>
  <si>
    <t>INS-MEM-BL</t>
  </si>
  <si>
    <t>INS-MEM-ET-BL</t>
  </si>
  <si>
    <t>INS-MEM-ET-GR</t>
  </si>
  <si>
    <t>INS-MEM-GR</t>
  </si>
  <si>
    <t>INS-MEM-MRN</t>
  </si>
  <si>
    <t>SS-BG</t>
  </si>
  <si>
    <t>ZEN-FT-DB</t>
  </si>
  <si>
    <t>ZEN-NL-DB</t>
  </si>
  <si>
    <t>ZEN-PT-DB</t>
  </si>
  <si>
    <t>GEN-NL-BG</t>
  </si>
  <si>
    <t>GEN-ET-BG</t>
  </si>
  <si>
    <t>GEN-ET-LB</t>
  </si>
  <si>
    <t>GEN-NL-LB</t>
  </si>
  <si>
    <t>GEN-PT-BG</t>
  </si>
  <si>
    <t>GEN-PT-LB</t>
  </si>
  <si>
    <t>OPU-NL-BG</t>
  </si>
  <si>
    <t>OPU-ET-BG</t>
  </si>
  <si>
    <t>OPU-ET-LB</t>
  </si>
  <si>
    <t>OPU-NL-LB</t>
  </si>
  <si>
    <t>OPU-PT-BG</t>
  </si>
  <si>
    <t>OPU-PT-LB</t>
  </si>
  <si>
    <t>SAN-NL-BG</t>
  </si>
  <si>
    <t>SAN-ET-BG</t>
  </si>
  <si>
    <t>SAN-ET-GR</t>
  </si>
  <si>
    <t>SAN-NL-GR</t>
  </si>
  <si>
    <t>SAN-PT-BG</t>
  </si>
  <si>
    <t>SAN-PT-GR</t>
  </si>
  <si>
    <t>SAN-ET-MRN</t>
  </si>
  <si>
    <t>SAN-NL-MRN</t>
  </si>
  <si>
    <t>SAN-MEM-ET-PUR</t>
  </si>
  <si>
    <t>SAN-MEM-NL-GR</t>
  </si>
  <si>
    <t>SAN-MEM-NL-PUR</t>
  </si>
  <si>
    <t>SAN-MEM-PT-GR</t>
  </si>
  <si>
    <t>SAN-MEM-PT-PUR</t>
  </si>
  <si>
    <t>SAN-PT-MRN</t>
  </si>
  <si>
    <t>CRY-PW</t>
  </si>
  <si>
    <t>TNDR-</t>
  </si>
  <si>
    <t>ARD-ET-BRN</t>
  </si>
  <si>
    <t>ARD-ET-GR</t>
  </si>
  <si>
    <t>ARD-PL-LB</t>
  </si>
  <si>
    <t>ARD-NL-BRN</t>
  </si>
  <si>
    <t>ARD-NL-GR</t>
  </si>
  <si>
    <t>ARD-MEM-ET-BL</t>
  </si>
  <si>
    <t>ARD-MEM-ET-GR</t>
  </si>
  <si>
    <t>ARD-MEM-NL-BL</t>
  </si>
  <si>
    <t>ARD-MEM-NL-GR</t>
  </si>
  <si>
    <t>ARD-MEM-PT-BL</t>
  </si>
  <si>
    <t>ARD-MEM-PT-GR</t>
  </si>
  <si>
    <t>CAR-ET-CR</t>
  </si>
  <si>
    <t>CAR-ET-LB</t>
  </si>
  <si>
    <t>CAR-PL-CR</t>
  </si>
  <si>
    <t>CAR-NL-CR</t>
  </si>
  <si>
    <t>CAR-NL-LB</t>
  </si>
  <si>
    <t>CAM-NLMIL</t>
  </si>
  <si>
    <t>CAM-ST-COS</t>
  </si>
  <si>
    <t>CAM-ST-HAL</t>
  </si>
  <si>
    <t>CAM-NL-ST</t>
  </si>
  <si>
    <t>CAM-ULT-COS</t>
  </si>
  <si>
    <t>CAM-ULT-HAL</t>
  </si>
  <si>
    <t>DD-CR</t>
  </si>
  <si>
    <t>FON-ET-BRN</t>
  </si>
  <si>
    <t>FON-ET-LB</t>
  </si>
  <si>
    <t>FON-NL-BRN</t>
  </si>
  <si>
    <t>FON-NL-LB</t>
  </si>
  <si>
    <t>GP-BRN</t>
  </si>
  <si>
    <t>GP-GR</t>
  </si>
  <si>
    <t>VIV-CR</t>
  </si>
  <si>
    <t>SPK-NL-BRN</t>
  </si>
  <si>
    <t>SPK-NL-CR</t>
  </si>
  <si>
    <t>SPK-NL-DB</t>
  </si>
  <si>
    <t>SPK-KNIT-NL-CR</t>
  </si>
  <si>
    <t>SPK-KNIT-NL-BG</t>
  </si>
  <si>
    <t>SPK-NL-KNIT-BG</t>
  </si>
  <si>
    <t>SPK-KNIT-NL-BRN</t>
  </si>
  <si>
    <t>SPK-KNIT-NL-DB</t>
  </si>
  <si>
    <t>SPK-KNIT-NL-LG</t>
  </si>
  <si>
    <t>SPK-NL-KNIT-LG</t>
  </si>
  <si>
    <t>SPK-KNIT-NL-MRN</t>
  </si>
  <si>
    <t>SPK-PT-BRN</t>
  </si>
  <si>
    <t>SPK-PT-CR</t>
  </si>
  <si>
    <t>SPK-PT-DB</t>
  </si>
  <si>
    <t>SPN-FM</t>
  </si>
  <si>
    <t>FR-POC-PT-</t>
  </si>
  <si>
    <t>FR-BON-ET-</t>
  </si>
  <si>
    <t>FR-BON-MEM-ET-</t>
  </si>
  <si>
    <t>FR-BON-MEM-RG-</t>
  </si>
  <si>
    <t>FR-BON-PT-</t>
  </si>
  <si>
    <t>FR-BON-RG-</t>
  </si>
  <si>
    <t>FR-POC-ET-</t>
  </si>
  <si>
    <t>FR-POC-MEM-ET-</t>
  </si>
  <si>
    <t>FR-POC-MEM-RG-</t>
  </si>
  <si>
    <t>FR-POC-RG-</t>
  </si>
  <si>
    <t>ERP PERSON:</t>
  </si>
  <si>
    <t>SHIFT:</t>
  </si>
  <si>
    <t>HEIGHT</t>
  </si>
  <si>
    <t>BL</t>
  </si>
  <si>
    <t>GR</t>
  </si>
  <si>
    <t>INS-MR</t>
  </si>
  <si>
    <t>KOZ-MR</t>
  </si>
  <si>
    <t>VB-BR</t>
  </si>
  <si>
    <t>SFG-INSRBBL-MEM-BOR-72X30X05</t>
  </si>
  <si>
    <t>SFG-INSRBBL-MEM-BOR-72X30X06</t>
  </si>
  <si>
    <t>SFG-INSRBBL-MEM-BOR-72X30X08</t>
  </si>
  <si>
    <t>SFG-INSRBBL-MEM-ETBOR-72X30X05</t>
  </si>
  <si>
    <t>SFG-INSRBBL-MEM-ETBOR-72X30X06</t>
  </si>
  <si>
    <t>SFG-INSRBBL-MEM-ETBOR-72X30X08</t>
  </si>
  <si>
    <t>SFG-INSRBGR-MEM-BOR-72X30X05</t>
  </si>
  <si>
    <t>SFG-INSRBGR-MEM-BOR-72X30X06</t>
  </si>
  <si>
    <t>SFG-INSRBGR-MEM-BOR-72X30X08</t>
  </si>
  <si>
    <t>SFG-INSRBGR-MEM-ETBOR-72X30X05</t>
  </si>
  <si>
    <t>SFG-INSRBGR-MEM-ETBOR-72X30X06</t>
  </si>
  <si>
    <t>SFG-INSRBGR-MEM-ETBOR-72X30X08</t>
  </si>
  <si>
    <t>SFG-INSRBGRN-LTX-BOR-72X30X05</t>
  </si>
  <si>
    <t>SFG-INSRBGRN-LTX-BOR-72X30X06</t>
  </si>
  <si>
    <t>SFG-INSRBGRN-LTX-BOR-72X30X08</t>
  </si>
  <si>
    <t>SFG-INSRBGRN-LTX-ETBOR-72X30X05</t>
  </si>
  <si>
    <t>SFG-INSRBGRN-LTX-ETBOR-72X30X06</t>
  </si>
  <si>
    <t>SFG-INSRBGRN-LTX-ETBOR-72X30X08</t>
  </si>
  <si>
    <t>SFG-INSRBMR-ST-BOR-72X30X04</t>
  </si>
  <si>
    <t>SFG-INSRBMR-ST-BOR-72X30X05</t>
  </si>
  <si>
    <t>SFG-INSRBMR-ST-BOR-72X30X06</t>
  </si>
  <si>
    <t>SFG-INSRBMR-ST-BOR-72X30X08</t>
  </si>
  <si>
    <t>SFG-INSRBMR-ST-ETBOR-72X30X05</t>
  </si>
  <si>
    <t>SFG-INSRBMR-ST-ETBOR-72X30X06</t>
  </si>
  <si>
    <t>SFG-INSRBMR-ST-ETBOR-72X30X08</t>
  </si>
  <si>
    <t>SFG-INSRBPNK-LTX-BOR-72X30X05</t>
  </si>
  <si>
    <t>SFG-INSRBPNK-LTX-BOR-72X30X06</t>
  </si>
  <si>
    <t>SFG-INSRBPNK-LTX-BOR-72X30X08</t>
  </si>
  <si>
    <t>SFG-INSRBPNK-LTX-ETBOR-72X30X05</t>
  </si>
  <si>
    <t>SFG-INSRBPNK-LTX-ETBOR-72X30X06</t>
  </si>
  <si>
    <t>SFG-INSRBPNK-LTX-ETBOR-72X30X08</t>
  </si>
  <si>
    <t>SFG-KBZDB-BOR-72X30X04</t>
  </si>
  <si>
    <t>SFG-KBZDB-BOR-72X30X05</t>
  </si>
  <si>
    <t>SFG-KBZDB-BOR-72X30X06</t>
  </si>
  <si>
    <t>SFG-KBZMR-BOR-72X30X04</t>
  </si>
  <si>
    <t>SFG-KBZMR-BOR-72X30X05</t>
  </si>
  <si>
    <t>SFG-KBZMR-BOR-72X30X06</t>
  </si>
  <si>
    <t>SFG-VISBONBW-BOR-72X30X04</t>
  </si>
  <si>
    <t>SFG-VISBONBW-BOR-72X30X05</t>
  </si>
  <si>
    <t>SFG-VISBONBW-BOR-72X30X06</t>
  </si>
  <si>
    <t>VISTA BOND</t>
  </si>
  <si>
    <t>EXAMBLE</t>
  </si>
  <si>
    <t xml:space="preserve">VISTA BOND </t>
  </si>
  <si>
    <t>4"</t>
  </si>
  <si>
    <t>5"</t>
  </si>
  <si>
    <t>6"</t>
  </si>
  <si>
    <t>KOZYBREEZE</t>
  </si>
  <si>
    <t>MAROON</t>
  </si>
  <si>
    <t>SFG-KBZMR-BOR-</t>
  </si>
  <si>
    <t xml:space="preserve"> DARK BLUE</t>
  </si>
  <si>
    <t xml:space="preserve">MEMORIO </t>
  </si>
  <si>
    <t>ORANGE</t>
  </si>
  <si>
    <t>SFG-MEMOR-BOR-</t>
  </si>
  <si>
    <t>SFG-MEMOR-BOR-72X30X05</t>
  </si>
  <si>
    <t>SFG-MEMOR-BOR-72X30X06</t>
  </si>
  <si>
    <t>8"</t>
  </si>
  <si>
    <t>SFG-MEMOR-BOR-72X30X08</t>
  </si>
  <si>
    <t>VILOT</t>
  </si>
  <si>
    <t>SFG-MEMVL-BOR-</t>
  </si>
  <si>
    <t>SFG-MEMVL-BOR-72X30X05</t>
  </si>
  <si>
    <t>SFG-MEMVL-BOR-72X30X06</t>
  </si>
  <si>
    <t>SFG-MEMVL-BOR-72X30X08</t>
  </si>
  <si>
    <t xml:space="preserve">   INSPREE LATEX</t>
  </si>
  <si>
    <t>GREEN</t>
  </si>
  <si>
    <t>PINK</t>
  </si>
  <si>
    <t xml:space="preserve">   INSPREE  LATEX- EURO TOP</t>
  </si>
  <si>
    <t>SFG-INSRBGRN-LTX-ETBOR-                                SFG-INSRBGRN-LTX-ETCVR-</t>
  </si>
  <si>
    <t>SFG-INSRBGRN-LTX-ETCVR-72X30</t>
  </si>
  <si>
    <t>SFG-INSRBGRN-LTX-ETCVR-72X30X08</t>
  </si>
  <si>
    <t>SFG-INSRBPNK-LTX-ETBOR-                                SFG-INSRBPNK-LTX-ETCVR-</t>
  </si>
  <si>
    <t>SFG-INSRBPNK-LTX-ETCVR-72X30</t>
  </si>
  <si>
    <t>SFG-INSRBPNK-LTX-ETCVR-72X30X08</t>
  </si>
  <si>
    <t xml:space="preserve">   INSPREE MEMORY</t>
  </si>
  <si>
    <t>BLUE</t>
  </si>
  <si>
    <t>GREY</t>
  </si>
  <si>
    <t xml:space="preserve">   INSPREE  MEM- EURO TOP</t>
  </si>
  <si>
    <t>SFG-INSRBBL-MEM-ETBOR-                                SFG-INSRBBL-MEM-ETCVR-</t>
  </si>
  <si>
    <t>SFG-INSRBBL-MEM-ETCVR-72X30</t>
  </si>
  <si>
    <t>SFG-INSRBBL-MEM-ETCVR-72X30X08</t>
  </si>
  <si>
    <t>SFG-INSRBGR-MEM-ETBOR-                                SFG-INSRBGR-MEM-ETCVR-</t>
  </si>
  <si>
    <t>SFG-INSRBGR-MEM-ETCVR-72X30</t>
  </si>
  <si>
    <t>SFG-INSRBGR-MEM-ETCVR-72X30X08</t>
  </si>
  <si>
    <t xml:space="preserve">   INSPREE PU </t>
  </si>
  <si>
    <t xml:space="preserve">   INSPREE PU EURO TOP</t>
  </si>
  <si>
    <t>SFG-INSRBMR-ST-ETBOR-                                SFG-INSRBMR-ST-ETCVR-</t>
  </si>
  <si>
    <t>SFG-INSRBMR-ST-ETCVR-72X30</t>
  </si>
  <si>
    <t>SFG-INSRBMR-ST-ETCVR-72X30X08</t>
  </si>
  <si>
    <t xml:space="preserve"> SFG-INSRBGRN-LTX-ETCVR-</t>
  </si>
  <si>
    <t>SFG-INSRBPNK-LTX-ETCVR-</t>
  </si>
  <si>
    <t>SFG-INSRBBL-MEM-ETCVR-</t>
  </si>
  <si>
    <t xml:space="preserve"> SFG-INSRBGR-MEM-ETCVR-</t>
  </si>
  <si>
    <t>SFG-INSRBMR-ST-ETCVR-</t>
  </si>
  <si>
    <t>INS-GRN</t>
  </si>
  <si>
    <t>INS-PNK</t>
  </si>
  <si>
    <t>INS-ET</t>
  </si>
  <si>
    <t>INS-ET-GRN</t>
  </si>
  <si>
    <t>INS-ET-PNK</t>
  </si>
  <si>
    <t>INS-BL</t>
  </si>
  <si>
    <t>INS-GR</t>
  </si>
  <si>
    <t>INS-ET-BL</t>
  </si>
  <si>
    <t>INS-ET-GR</t>
  </si>
  <si>
    <t>VB</t>
  </si>
  <si>
    <t>BR</t>
  </si>
  <si>
    <t>KOZ</t>
  </si>
  <si>
    <t>MR</t>
  </si>
  <si>
    <t>DB</t>
  </si>
  <si>
    <t>MEM</t>
  </si>
  <si>
    <t>OR</t>
  </si>
  <si>
    <t>VL</t>
  </si>
  <si>
    <t>INS</t>
  </si>
  <si>
    <t>GRN</t>
  </si>
  <si>
    <t>PNK</t>
  </si>
  <si>
    <t>INS-ET-MR</t>
  </si>
  <si>
    <t>H2</t>
  </si>
  <si>
    <t>BORDER</t>
  </si>
  <si>
    <t>MATTRESS NAME</t>
  </si>
  <si>
    <t>KOZY BREEZE MAROON</t>
  </si>
  <si>
    <t xml:space="preserve">SFG-INSRBGRN-LTX-ETBOR- </t>
  </si>
  <si>
    <t>KOZY BREEZE DARK BLUE</t>
  </si>
  <si>
    <t>MEMERIO ORANGE</t>
  </si>
  <si>
    <t>MEMERIO VILOT</t>
  </si>
  <si>
    <t>INSPREE LATEX GREEN</t>
  </si>
  <si>
    <t>INSPREE LATEX PINK</t>
  </si>
  <si>
    <t>INSPREE MEMORY BLUE</t>
  </si>
  <si>
    <t>INSPREE MEMORY GREY</t>
  </si>
  <si>
    <t>INSPREE PU MAROON</t>
  </si>
  <si>
    <t>COVER</t>
  </si>
  <si>
    <t>INSPREE EURO TOP  LATEX GREEN</t>
  </si>
  <si>
    <t>INSPREE EURO TOP  LATEX PINK</t>
  </si>
  <si>
    <t>INSPREE EURO TOP MEMORY BLUE</t>
  </si>
  <si>
    <t>INSPREE EURO TOP MEMORY GREY</t>
  </si>
  <si>
    <t>INSPREE PU EURO TOP  MAROON</t>
  </si>
  <si>
    <t>INSPREE  MEMORY EURO TOP BLUE</t>
  </si>
  <si>
    <t>INSPREE  MEMORY EURO TOP  GREY</t>
  </si>
  <si>
    <t>INSPREE  LATEX EURO TOP GREEN</t>
  </si>
  <si>
    <t>INSPREE  LATEX EURO TOP PINK</t>
  </si>
  <si>
    <t>SFG-VISBONBW-BOR-15CM</t>
  </si>
  <si>
    <t>HW-CTON-THREAD</t>
  </si>
  <si>
    <t>COTTON THREAD WHITE 3PLY</t>
  </si>
  <si>
    <t>RML-CIR-VIS-BON-SDE-LBL-FUS</t>
  </si>
  <si>
    <t>CIRRUS VISTA BOND SIDE LABEL (FUSING TYPE)</t>
  </si>
  <si>
    <t>RML-MRP-BACK-LBL-260-92-FUS</t>
  </si>
  <si>
    <t>MRP BACK LABEL 260MMX92MM FUSING TYPE</t>
  </si>
  <si>
    <t>RM-THRD-QS-TKT40</t>
  </si>
  <si>
    <t>THREAD TKT40 210D/3 PLY 10000MTS ( WHITE )</t>
  </si>
  <si>
    <t>DESCRIPTION</t>
  </si>
  <si>
    <t>FBR-SPK-BR-BRN-KF</t>
  </si>
  <si>
    <t>RM-NWN-BS-8.5"X30GSM</t>
  </si>
  <si>
    <t>SPRINGKOIL KNITTED BROWN BORDER FABRIC</t>
  </si>
  <si>
    <t>NON WOVEN FABRIC 30 GSM x 8.5 INCH - WHITE</t>
  </si>
  <si>
    <t>TC</t>
  </si>
  <si>
    <t>TW</t>
  </si>
  <si>
    <t>B-VB</t>
  </si>
  <si>
    <t>SFG-VISBONBW-BOR-18CM</t>
  </si>
  <si>
    <t>SFG-VISBONBW-BOR-20CM</t>
  </si>
  <si>
    <t>N-8.5</t>
  </si>
  <si>
    <t>SFG-KBZDB-BOR-15CM</t>
  </si>
  <si>
    <t>RML-CIR-KOZBRE-SDE-LBL-FUS</t>
  </si>
  <si>
    <t>CIRRUS KOZYBREEZ SIDE LABEL (FUSING TYPE)</t>
  </si>
  <si>
    <t>FBR-KOZBRE-PNL-BLUE</t>
  </si>
  <si>
    <t>KOZYBREEZ PANEL FABRIC DARK BLUE</t>
  </si>
  <si>
    <t>SFG-KBZDB-BOR-18CM</t>
  </si>
  <si>
    <t>SFG-KBZDB-BOR-20CM</t>
  </si>
  <si>
    <t>SFG-KBZMR-BOR-15CM</t>
  </si>
  <si>
    <t>SFG-KBZMR-BOR-18CM</t>
  </si>
  <si>
    <t>SFG-KBZMR-BOR-20CM</t>
  </si>
  <si>
    <t>FBR-CASPIA-BR-MRN</t>
  </si>
  <si>
    <t>CASPIA MAROON BORDER FABRIC</t>
  </si>
  <si>
    <t>B-KOZ-DB</t>
  </si>
  <si>
    <t>B-KOZ-MR</t>
  </si>
  <si>
    <t>RML-CIR-MEM-SDE-LBL-FUS</t>
  </si>
  <si>
    <t>CIRRUS MEMORIO SIDE LABEL (FUSING TYPE)</t>
  </si>
  <si>
    <t>L-MEM</t>
  </si>
  <si>
    <t>L-KOZ</t>
  </si>
  <si>
    <t>MRP</t>
  </si>
  <si>
    <t>SFG-MEMOR-BOR-18CM</t>
  </si>
  <si>
    <t>SFG-MEMOR-BOR-20CM</t>
  </si>
  <si>
    <t>SFG-MEMOR-BOR-24CM</t>
  </si>
  <si>
    <t>FBR-INS-REB-LTX-BR-PINK</t>
  </si>
  <si>
    <t>INSPREE REBONDED LATEX PINK BORDER FABRIC</t>
  </si>
  <si>
    <t>B-MEM-OR</t>
  </si>
  <si>
    <t>SFG-MEMVL-BOR-18CM</t>
  </si>
  <si>
    <t>SFG-MEMVL-BOR-20CM</t>
  </si>
  <si>
    <t>SFG-MEMVL-BOR-24CM</t>
  </si>
  <si>
    <t>FBR-INS-REB-MEM-BR-BLUE</t>
  </si>
  <si>
    <t>INSPREE REBONDED MEMORY BLUE BORDER FABRIC</t>
  </si>
  <si>
    <t>B-MEM-VL</t>
  </si>
  <si>
    <t>RML-CIR-INS-LAT-SDE-LBL-FUS</t>
  </si>
  <si>
    <t>CIRRUS INSPREE LATEX SIDE LABEL (FUSING TYPE)</t>
  </si>
  <si>
    <t>L-INS-LAT</t>
  </si>
  <si>
    <t>SFG-INSRBGRN-LTX-BOR-20CM</t>
  </si>
  <si>
    <t>SFG-INSRBPNK-LTX-BOR-18CM</t>
  </si>
  <si>
    <t>SFG-INSRBPNK-LTX-BOR-25CM</t>
  </si>
  <si>
    <t>SFG-INSRBGRN-LTX-BOR-18CM</t>
  </si>
  <si>
    <t>SFG-INSRBGRN-LTX-BOR-25CM</t>
  </si>
  <si>
    <t>RM-NWN-BS-11.50"X30GSM</t>
  </si>
  <si>
    <t>NON WOVEN FABRIC 30 GSM x 11.5 INCH - WHITE</t>
  </si>
  <si>
    <t>B-INS-PNK</t>
  </si>
  <si>
    <t>N-11.5</t>
  </si>
  <si>
    <t>FBR-INS-REB-LTX-BR-GRN</t>
  </si>
  <si>
    <t>INSPREE REBONDED LATEX GREEN BORDER FABRIC</t>
  </si>
  <si>
    <t>B-INS-GRN</t>
  </si>
  <si>
    <t>RML-CIR-INS-LAT-SDE-LBL-4INC-FUS</t>
  </si>
  <si>
    <t>CIRRUS INSPREE LATEX SIDE LABEL  4 INCH MATTRESS (FUSING TYPE)</t>
  </si>
  <si>
    <t>L-INS-LAT-4</t>
  </si>
  <si>
    <t>SFG-INSRBGRN-LTX-BOR-13CM</t>
  </si>
  <si>
    <t>RML-NWN-70GSMX76"</t>
  </si>
  <si>
    <t>NON WOVEN FABRIC 70 GSM x 76 INCH - WHITE</t>
  </si>
  <si>
    <t>N-76</t>
  </si>
  <si>
    <t>SFG-INSRBGRN-LTX-ETBOR-08CM</t>
  </si>
  <si>
    <t>SFG-INSRBGRN-LTX-BOR-15CM</t>
  </si>
  <si>
    <t>RM-NWN-70GSMX6INCH</t>
  </si>
  <si>
    <t>NON WOVEN FABRIC 70 GSM x 6 INCH - WHITE</t>
  </si>
  <si>
    <t>N-6</t>
  </si>
  <si>
    <t>SFG-INSRBGRN-LTX-ETBOR-10CM</t>
  </si>
  <si>
    <t>SFG-INSRBPNK-LTX-BOR-13CM</t>
  </si>
  <si>
    <t>SFG-INSRBPNK-LTX-ETBOR-08CM</t>
  </si>
  <si>
    <t>SFG-INSRBPNK-LTX-BOR-15CM</t>
  </si>
  <si>
    <t>SFG-INSRBPNK-LTX-ETBOR-10CM</t>
  </si>
  <si>
    <t>UOM</t>
  </si>
  <si>
    <t>NOS</t>
  </si>
  <si>
    <t>MTR</t>
  </si>
  <si>
    <t>KGS</t>
  </si>
  <si>
    <t>RML-EDTAPE-WHT-KNIT</t>
  </si>
  <si>
    <t>EDGE TAPE. WHITE (42MM ,12.5GRM/PER MTR KNITTED)</t>
  </si>
  <si>
    <t>ET-WH</t>
  </si>
  <si>
    <t>RML-POLY-GUM</t>
  </si>
  <si>
    <t>SOLVENT BASED RUBBER ADHESIVE (SPRAY GLUE)</t>
  </si>
  <si>
    <t>LTR</t>
  </si>
  <si>
    <t>GUM</t>
  </si>
  <si>
    <t>RML-CIR-INS-MEM-SDE-LBL-FUS</t>
  </si>
  <si>
    <t>CIRRUS INSPREE MEMORY SIDE LABEL (FUSING TYPE)</t>
  </si>
  <si>
    <t>L-INS-MEM</t>
  </si>
  <si>
    <t>SFG-INSRBBL-MEM-BOR-18CM</t>
  </si>
  <si>
    <t>SFG-INSRBBL-MEM-BOR-20CM</t>
  </si>
  <si>
    <t>SFG-INSRBBL-MEM-BOR-25CM</t>
  </si>
  <si>
    <t>SFG-INSRBGR-MEM-BOR-18CM</t>
  </si>
  <si>
    <t>SFG-INSRBGR-MEM-BOR-20CM</t>
  </si>
  <si>
    <t>SFG-INSRBGR-MEM-BOR-25CM</t>
  </si>
  <si>
    <t>FBR-INS-REB-MEM-BR-GRY</t>
  </si>
  <si>
    <t>INSPREE REBONDED MEMORY GREY BORDER FABRIC</t>
  </si>
  <si>
    <t>B-INS-GR</t>
  </si>
  <si>
    <t>RML-CIR-INS-MEM-SDE-LBL-4INC-FUS</t>
  </si>
  <si>
    <t>CIRRUS INSPREE MEMORY SIDE LABEL 4 INCH MATTRESS (FUSING TYPE)</t>
  </si>
  <si>
    <t>L-INS-MEM-4</t>
  </si>
  <si>
    <t>SFG-INSRBBL-MEM-BOR-13CM</t>
  </si>
  <si>
    <t>SFG-INSRBBL-MEM-ETBOR-08CM</t>
  </si>
  <si>
    <t>SFG-INSRBBL-MEM-BOR-15CM</t>
  </si>
  <si>
    <t>SFG-INSRBBL-MEM-ETBOR-10CM</t>
  </si>
  <si>
    <t>SFG-INSRBGR-MEM-BOR-13CM</t>
  </si>
  <si>
    <t>SFG-INSRBGR-MEM-ETBOR-08CM</t>
  </si>
  <si>
    <t>SFG-INSRGR-MEM-BOR-15CM</t>
  </si>
  <si>
    <t>SFG-INSRBGR-MEM-ETBOR-10CM</t>
  </si>
  <si>
    <t>RML-CIR-INS-SDE-LBL-FUS</t>
  </si>
  <si>
    <t>CIRRUS INSPREE SIDE LABEL (FUSING TYPE)</t>
  </si>
  <si>
    <t>SFG-INSRBMR-ST-BOR-15CM</t>
  </si>
  <si>
    <t>SFG-INSRBMR-ST-BOR-18CM</t>
  </si>
  <si>
    <t>SFG-INSRBMR-ST-BOR-20CM</t>
  </si>
  <si>
    <t>SFG-INSRBMR-ST-BOR-25CM</t>
  </si>
  <si>
    <t>FBR-SPK-BR-MRN-KF</t>
  </si>
  <si>
    <t>SPRINGKOIL KNITTED MAROON BORDER FABRIC</t>
  </si>
  <si>
    <t>B-INS-MR</t>
  </si>
  <si>
    <t>RML-CIR-INS-SDE-LBL-4INC-FUS</t>
  </si>
  <si>
    <t>CIRRUS INSPREE SIDE LABEL 4 INCH MATTRESS (FUSING TYPE)</t>
  </si>
  <si>
    <t>L-INS-4</t>
  </si>
  <si>
    <t>SFG-INSRBMR-ST-BOR-13CM</t>
  </si>
  <si>
    <t>SFG-INSRBMR-ST-ETBOR-08CM</t>
  </si>
  <si>
    <t>SFG-INSRBMR-ST-ETBOR-10CM</t>
  </si>
  <si>
    <t>L-INS</t>
  </si>
  <si>
    <t>RML-EDTAPE-BRN</t>
  </si>
  <si>
    <t>EDGE TAPE.BROWN (42MM ,12.5GRM/PER MTR KNITTED)</t>
  </si>
  <si>
    <t>ET-BR</t>
  </si>
  <si>
    <t>RM-THRD-TKT40-BLACK</t>
  </si>
  <si>
    <t>3 PLY POLYESTER THREAD 702/ TKT 40 BLACK 10000 MTR</t>
  </si>
  <si>
    <t>TB</t>
  </si>
  <si>
    <t>FBR-CRY-BAHB-REXIN-BLK</t>
  </si>
  <si>
    <t>CRYSTAL BASE &amp; HEAD BOARD BLACK REXIN</t>
  </si>
  <si>
    <t>B-DIV-BLK</t>
  </si>
  <si>
    <t>RM-GREY-ZIP</t>
  </si>
  <si>
    <t>GREY ZIPPER NO -8</t>
  </si>
  <si>
    <t>RML-RUNNER-SLVR</t>
  </si>
  <si>
    <t>Zipper Runner Silver No-8</t>
  </si>
  <si>
    <t>RML-FBR-BT-WHT</t>
  </si>
  <si>
    <t>BOTTLE FABRIC-WHITE</t>
  </si>
  <si>
    <t>ZIP</t>
  </si>
  <si>
    <t>RUN</t>
  </si>
  <si>
    <t>N-BOT</t>
  </si>
  <si>
    <t>RML-EDTAPE-MER-KNIT</t>
  </si>
  <si>
    <t>EDGE TAPE.MAROON(42MM ,12.5GRM/PER MTR KNITTED)</t>
  </si>
  <si>
    <t>ET-MR</t>
  </si>
  <si>
    <t>RML-CIR-FOM-SDE-LBL</t>
  </si>
  <si>
    <t>CIRRUS Foamera SIDE LABEL</t>
  </si>
  <si>
    <t>L-FUR</t>
  </si>
  <si>
    <t>RML-EDTAPE-BLUE</t>
  </si>
  <si>
    <t>EDGE TAPE.D BLUE(42MM ,12.5GRM/PER MTR KNITTED)</t>
  </si>
  <si>
    <t>ET-BL</t>
  </si>
  <si>
    <t>MEMORIO -ULTRA</t>
  </si>
  <si>
    <t>DARK BLUE</t>
  </si>
  <si>
    <t>SFG-MULTDB-BOR-72X30X05</t>
  </si>
  <si>
    <t>SFG-MULTDB-BOR-72X30X06</t>
  </si>
  <si>
    <t>SFG-MULTDB-BOR-72X30X08</t>
  </si>
  <si>
    <t>MEM-DB</t>
  </si>
  <si>
    <t>SFG-MEM-ULT-DB-BOR-19CM</t>
  </si>
  <si>
    <t>SFG-MULTGR-BOR-72X30X05</t>
  </si>
  <si>
    <t>SFG-MULTGR-BOR-72X30X06</t>
  </si>
  <si>
    <t>SFG-MULTGR-BOR-72X30X08</t>
  </si>
  <si>
    <t>MEM-GR</t>
  </si>
  <si>
    <t>RML-CIR-MEM-ULT-SDE-LBL</t>
  </si>
  <si>
    <t>CIRRUS MEMORIO ULTRA SIDE LABEL</t>
  </si>
  <si>
    <t>L-MEM-ULT</t>
  </si>
  <si>
    <t>SFG-MEM-ULT-DB-BOR-21CM</t>
  </si>
  <si>
    <t>SFG-MEM-ULT-DB-BOR-26CM</t>
  </si>
  <si>
    <t>SFG-MEM-ULT-GR-BOR-19CM</t>
  </si>
  <si>
    <t>SFG-MEM-ULT-GR-BOR-21CM</t>
  </si>
  <si>
    <t>SFG-MEM-ULT-GR-BOR-26CM</t>
  </si>
  <si>
    <t>FBR-MEM-UL-BR-GREY</t>
  </si>
  <si>
    <t>HYPNOS MEMORIO ULTRA GREY BORDER FABRIC</t>
  </si>
  <si>
    <t>FBR-MEM-UL-BR-BLUE</t>
  </si>
  <si>
    <t>HYPNOS MEMORIO ULTRA BLUE BORDER FABRIC</t>
  </si>
  <si>
    <t>FBR-FOM-PNLBR-BRN</t>
  </si>
  <si>
    <t>Foamera BROWN PANEL&amp;BORDER  FABRIC</t>
  </si>
  <si>
    <t>P-FUR-BR</t>
  </si>
  <si>
    <t>RM-THRD-QS-TKT90</t>
  </si>
  <si>
    <t>THREAD TKT90 300D/1 PLY 16700MTS</t>
  </si>
  <si>
    <t>T90</t>
  </si>
  <si>
    <t>FBR-FUR-PNLBR-DB</t>
  </si>
  <si>
    <t>FURNO DARK BLUE PANEL BORDER FABRIC</t>
  </si>
  <si>
    <t>P-FUR-DB</t>
  </si>
  <si>
    <t>FBR-FUR-PNLBR-MRN</t>
  </si>
  <si>
    <t>FURNO MAROON PANEL BORDER FABRIC</t>
  </si>
  <si>
    <t>P-FUR-MR</t>
  </si>
  <si>
    <t>RM-NWN-QL-86"X20GSM</t>
  </si>
  <si>
    <t>NON WOVEN FABRIC 20 GSM x 86 INCH - WHITE</t>
  </si>
  <si>
    <t>N-86</t>
  </si>
  <si>
    <t>FBR-SPS-PNLBR-NVB</t>
  </si>
  <si>
    <t>SPINE SAFE NAVY BLUE PANEL BORDER FABRIC</t>
  </si>
  <si>
    <t>P-SPS-NV</t>
  </si>
  <si>
    <t>RML-THRD-TKT-40COF</t>
  </si>
  <si>
    <t>3 PLY POLYESTER THREAD . 702/ TKT 40 COFFEE</t>
  </si>
  <si>
    <t>TCOF</t>
  </si>
  <si>
    <t>RML-CIR-SPS-SDE-LBL</t>
  </si>
  <si>
    <t>CIRRUS SPINE SAFE SIDE LABEL</t>
  </si>
  <si>
    <t>L-SPS</t>
  </si>
  <si>
    <t>RMI-SPK-EDTAPE-DGRY</t>
  </si>
  <si>
    <t>EDGE TAPE. DARK GREY-IMPORT</t>
  </si>
  <si>
    <t>RML-THRD-TKT-40GREY</t>
  </si>
  <si>
    <t>3 PLY POLYESTER THREAD . 702/ TKT 40 GREY,7000MTR'S</t>
  </si>
  <si>
    <t>ET-GR</t>
  </si>
  <si>
    <t>TGR</t>
  </si>
  <si>
    <t>MRP-MINI</t>
  </si>
  <si>
    <t>RML-CIR-SPS-MIN-SDE-LBL</t>
  </si>
  <si>
    <t>CIRRUS SPINE SAFE MINI SAMPLE SIDE LABEL</t>
  </si>
  <si>
    <t>L-SPS-MINI</t>
  </si>
  <si>
    <t>FBR-SPGFM-PNL-WHT</t>
  </si>
  <si>
    <t>SPINEGUARD FOAM PANEL WHITE FABRIC</t>
  </si>
  <si>
    <t>RMI-BREATHER-SPG</t>
  </si>
  <si>
    <t>SPINE GUARD BREATHER SET ROUND</t>
  </si>
  <si>
    <t>SET</t>
  </si>
  <si>
    <t>BR-SPG</t>
  </si>
  <si>
    <t>RML-SPGF-CNR-LBL</t>
  </si>
  <si>
    <t>PEPS SPINE GUARD FOAM CORNER LABEL 7 YEARS</t>
  </si>
  <si>
    <t>L-SPG-COR</t>
  </si>
  <si>
    <t>P-SPG-WH</t>
  </si>
  <si>
    <t>VB-BR-15</t>
  </si>
  <si>
    <t>VB-BR-18</t>
  </si>
  <si>
    <t>VB-BR-20</t>
  </si>
  <si>
    <t>KOZ-MR-15</t>
  </si>
  <si>
    <t>KOZ-MR-18</t>
  </si>
  <si>
    <t>KOZ-MR-20</t>
  </si>
  <si>
    <t>KOZ-DB-15</t>
  </si>
  <si>
    <t>KOZ-DB-18</t>
  </si>
  <si>
    <t>KOZ-DB-20</t>
  </si>
  <si>
    <t>MEM-OR-18</t>
  </si>
  <si>
    <t>MEM-OR-20</t>
  </si>
  <si>
    <t>MEM-OR-24</t>
  </si>
  <si>
    <t>MEM-VL-18</t>
  </si>
  <si>
    <t>MEM-VL-20</t>
  </si>
  <si>
    <t>MEM-VL-24</t>
  </si>
  <si>
    <t>INS-GRN-18</t>
  </si>
  <si>
    <t>INS-GRN-20</t>
  </si>
  <si>
    <t>INS-GRN-25</t>
  </si>
  <si>
    <t>INS-PNK-18</t>
  </si>
  <si>
    <t>INS-PNK-20</t>
  </si>
  <si>
    <t>INS-PNK-25</t>
  </si>
  <si>
    <t>INS-GRN-13</t>
  </si>
  <si>
    <t>INS-GRN-8</t>
  </si>
  <si>
    <t>INS-GRN-15</t>
  </si>
  <si>
    <t>INS-GRN-10</t>
  </si>
  <si>
    <t>INS-PNK-10</t>
  </si>
  <si>
    <t>INS-PNK-13</t>
  </si>
  <si>
    <t>INS-PNK-15</t>
  </si>
  <si>
    <t>INS-PNK-8</t>
  </si>
  <si>
    <t>INS-BL-18</t>
  </si>
  <si>
    <t>INS-BL-20</t>
  </si>
  <si>
    <t>INS-BL-25</t>
  </si>
  <si>
    <t>INS-GR-18</t>
  </si>
  <si>
    <t>INS-GR-20</t>
  </si>
  <si>
    <t>INS-GR-25</t>
  </si>
  <si>
    <t>INS-BL-13</t>
  </si>
  <si>
    <t>INS-BL-8</t>
  </si>
  <si>
    <t>INS-BL-15</t>
  </si>
  <si>
    <t>INS-BL-10</t>
  </si>
  <si>
    <t>INS-GR-13</t>
  </si>
  <si>
    <t>INS-GR-8</t>
  </si>
  <si>
    <t>INS-GR-15</t>
  </si>
  <si>
    <t>INS-GR-10</t>
  </si>
  <si>
    <t>INS-MR-15</t>
  </si>
  <si>
    <t>INS-MR-18</t>
  </si>
  <si>
    <t>INS-MR-20</t>
  </si>
  <si>
    <t>INS-MR-25</t>
  </si>
  <si>
    <t>INS-MR-13</t>
  </si>
  <si>
    <t>INS-MR-10</t>
  </si>
  <si>
    <t>INS-MR-8</t>
  </si>
  <si>
    <t>MEM-DB-26</t>
  </si>
  <si>
    <t>MEM-DB-19</t>
  </si>
  <si>
    <t>MEM-DB-21</t>
  </si>
  <si>
    <t>MEM-GR-19</t>
  </si>
  <si>
    <t>MEM-GR-21</t>
  </si>
  <si>
    <t>MEM-GR-26</t>
  </si>
  <si>
    <t>SNO</t>
  </si>
  <si>
    <t>TOTAL</t>
  </si>
  <si>
    <t>RML-THRD-TKT-40MER</t>
  </si>
  <si>
    <t>3 PLY POLYESTER THREAD . 702/ TKT 40 MARRON,7000 MTRS</t>
  </si>
  <si>
    <t>FBR-CAPR-GL-MEM-LAX-PNL</t>
  </si>
  <si>
    <t>CAPRINA GEL MEMORY + LAX PANEL FABRIC</t>
  </si>
  <si>
    <t>FBR-HR-LAT-BR</t>
  </si>
  <si>
    <t>CAPRINA HR LATEX BORDER FABRIC</t>
  </si>
  <si>
    <t>FBR-HR-LAT-PNL</t>
  </si>
  <si>
    <t>CAPRINA HR LATEX PANEL FABRIC</t>
  </si>
  <si>
    <t>RML-CIR-FOM-MIN-SDE-LBL</t>
  </si>
  <si>
    <t>CIRRUS FOAMERA MINI SAMPLE SIDE LABEL</t>
  </si>
  <si>
    <t>RML-CIR-FOM-SDE-LBL-FUS</t>
  </si>
  <si>
    <t>CIRRUS FOAMERA SIDE LABEL (FUSING TYPE)</t>
  </si>
  <si>
    <t>RML-CIR-FUR-MIN-SDE-LBL</t>
  </si>
  <si>
    <t>CIRRUS FURNO MINI SAMPLE SIDE LABEL</t>
  </si>
  <si>
    <t>RML-FUR-CIR-SDE-LBL</t>
  </si>
  <si>
    <t>CIRRUS FURNO SIDE LABEL</t>
  </si>
  <si>
    <t>RML-CIR-LAT-MINI-SDE-LBL</t>
  </si>
  <si>
    <t>CIRRUS INSPREE LATEX MINI SAMPLE SIDE LABEL</t>
  </si>
  <si>
    <t>RML-CIR-INS-LAT-SDE-LBL</t>
  </si>
  <si>
    <t>CIRRUS INSPREE LATEX SIDE LABEL</t>
  </si>
  <si>
    <t>RML-CIR-INS-MEM-MINI-SDE-LBL</t>
  </si>
  <si>
    <t>CIRRUS INSPREE MEMORY MINI SAMPLE SIDE LABEL</t>
  </si>
  <si>
    <t>RML-CIR-INS-MEM-SDE-LBL</t>
  </si>
  <si>
    <t>CIRRUS INSPREE MEMORY SIDE LABEL</t>
  </si>
  <si>
    <t>RML-CIR-INS-MIN-SDE-LBL</t>
  </si>
  <si>
    <t>CIRRUS INSPREE MINI SAMPLE SIDE LABEL</t>
  </si>
  <si>
    <t>RML-CIR-INS-SDE-LBL</t>
  </si>
  <si>
    <t>CIRRUS INSPREE SIDE LABEL</t>
  </si>
  <si>
    <t>RML-CIR-LOG-SDE-LBL</t>
  </si>
  <si>
    <t>CIRRUS LOGO SODE LABEL</t>
  </si>
  <si>
    <t>RML-CIR-MINI-SAMPLE-MRP-LBL</t>
  </si>
  <si>
    <t>CIRRUS MATTRESS MINI SAMPLE MRP LABEL</t>
  </si>
  <si>
    <t>RML-CIR-MRP-LBL</t>
  </si>
  <si>
    <t>CIRRUS MATTRESS MRP LABEL</t>
  </si>
  <si>
    <t>RML-CIR-MEM-MIN-SDE-LBL</t>
  </si>
  <si>
    <t>CIRRUS MEMORIO MINI SAMPLE SIDE LABEL</t>
  </si>
  <si>
    <t>RML-CIR-MEM-SDE-LBL</t>
  </si>
  <si>
    <t>CIRRUS MEMORIO SIDE LABEL</t>
  </si>
  <si>
    <t>RML-CIR-MULT-MIN-SDE-LBL</t>
  </si>
  <si>
    <t>CIRRUS MEMORIO-ULTRA MINI SAMPLE SIDE LABEL</t>
  </si>
  <si>
    <t>RML-CIR-SDE-LBL</t>
  </si>
  <si>
    <t>CIRRUS Side Label (FUSING LABEL)</t>
  </si>
  <si>
    <t>RML-CIR-SPS-SDE-LBL-FUS</t>
  </si>
  <si>
    <t>CIRRUS SPINE SAFE SIDE LABEL (FUSING TYPE)</t>
  </si>
  <si>
    <t>RML-CIR-VIS-BON-MIN-SDE-LBL</t>
  </si>
  <si>
    <t>CIRRUS VISTA BOND MINI SAMPLE SIDE LABEL</t>
  </si>
  <si>
    <t>RML-EDTAPE-BLAK-KNIT</t>
  </si>
  <si>
    <t>EDGE TAPE- BLACK (42MM ,12.5GRM/PER MTR KNITTED)</t>
  </si>
  <si>
    <t>RML-SSF-EDTAPE</t>
  </si>
  <si>
    <t>EDGE TAPE. SPRING SOFT</t>
  </si>
  <si>
    <t>RML-FM-WHT-HANDLE</t>
  </si>
  <si>
    <t>FOAM MATTRESS WHITE WITH CREAM HANDLE</t>
  </si>
  <si>
    <t>FBR-FOM-PNLBR-BLUE</t>
  </si>
  <si>
    <t>Foamera BLUE PANEL &amp; BORDERÂ FABRIC</t>
  </si>
  <si>
    <t>FBR-FOM-PNLBR-MRN</t>
  </si>
  <si>
    <t>Foamera MAROON PANEL&amp;BORDERÂ  FABRIC</t>
  </si>
  <si>
    <t>FBR-HYP-HEVSPC-PNL-BLU</t>
  </si>
  <si>
    <t>HYPNOS HEAVENSPACE PANEL FABRIC</t>
  </si>
  <si>
    <t>FBR-INS-PNLBR-MRN</t>
  </si>
  <si>
    <t>Inspree Maroon Panel Fabric</t>
  </si>
  <si>
    <t>FBR-INS-REB-LTX-PNL-GRN</t>
  </si>
  <si>
    <t>INSPREE REBONDED LATEX GREEN PANEL FABRIC</t>
  </si>
  <si>
    <t>FBR-INS-REB-LTX-PNL-PINK</t>
  </si>
  <si>
    <t>INSPREE REBONDED LATEX PINK PANEL FABRIC</t>
  </si>
  <si>
    <t>FBR-INS-REB-MEM-PNL-BLUE</t>
  </si>
  <si>
    <t>INSPREE REBONDED MEMORY BLUE PANEL FABRIC</t>
  </si>
  <si>
    <t>FBR-INS-REB-MEM-PNL-GRY</t>
  </si>
  <si>
    <t>INSPREE REBONDED MEMORY GREY PANEL FABRIC</t>
  </si>
  <si>
    <t>FBR-KOZBOND-PNL-BLUE</t>
  </si>
  <si>
    <t>KOZYBOND PANEL FABRIC DARK BLUE</t>
  </si>
  <si>
    <t>FBR-KOZBOND-PNL-MRN</t>
  </si>
  <si>
    <t>KOZYBOND PANEL FABRIC MAROON</t>
  </si>
  <si>
    <t>FBR-MAT-TOP-KNT</t>
  </si>
  <si>
    <t>MATTRESS TOPPER FABRIC KNITTED FABRIC</t>
  </si>
  <si>
    <t>RML-WSCR-LBL-MT</t>
  </si>
  <si>
    <t>MATTRESS TOPPER WASH CARE LABLE</t>
  </si>
  <si>
    <t>FBR-MIR-PNLBR-MRN</t>
  </si>
  <si>
    <t>Mirage Maroon Panel &amp; Border Fabric</t>
  </si>
  <si>
    <t>FBR-PANO-PNL-LBLUE</t>
  </si>
  <si>
    <t>PANORAMA L.BLUE PANEL FABRIC</t>
  </si>
  <si>
    <t>RML-PEP-LOG-SDE-LBL-FUS</t>
  </si>
  <si>
    <t>PEPS LOGO SIDE LABEL (FUSING TYPE)</t>
  </si>
  <si>
    <t>RML-PEP-LOG-SDE-LBL</t>
  </si>
  <si>
    <t>PEPS LOGO SODE LABEL</t>
  </si>
  <si>
    <t>RML-PEPS-SOF-BED-LBL</t>
  </si>
  <si>
    <t>Peps Sofa Cum Bed Label</t>
  </si>
  <si>
    <t>RML-PEPS-SOF-BED-LBL-FUS</t>
  </si>
  <si>
    <t>Peps Sofa Cum Bed Label (FUSING TYPE)</t>
  </si>
  <si>
    <t>RML-SS-CNR-LBL</t>
  </si>
  <si>
    <t>PEPS SPRING SOFT CORNER LABEL</t>
  </si>
  <si>
    <t>RML-FBR-MS2000-BL</t>
  </si>
  <si>
    <t>REXINE MS 2000 BLACK</t>
  </si>
  <si>
    <t>RML-SDE-LBL-SPG-FOM-FUS</t>
  </si>
  <si>
    <t>SPINE GUARD  SIDE LABEL 7 YEARS FOAM FUSING TYPE</t>
  </si>
  <si>
    <t>RML-SPGF-SDE-LBL</t>
  </si>
  <si>
    <t>SPINE GUARD  SIDE LABEL -SIZE:21CMX9CM (PU FOAM MATTRESS) 7YRS BLACK</t>
  </si>
  <si>
    <t>FBR-SPS-PNLBR-GREY</t>
  </si>
  <si>
    <t>SPINE SAFE GREY PANEL BORDER FABRIC</t>
  </si>
  <si>
    <t>FBR-SPGFM-BR-WHT</t>
  </si>
  <si>
    <t>SPINEGUARD WHITE BORDER FABRIC</t>
  </si>
  <si>
    <t>RML-CIR-MRN-FBR</t>
  </si>
  <si>
    <t>SPRING SOFT MAROON PANEL &amp; BORDER FABRIC</t>
  </si>
  <si>
    <t>FBR-VIS-BON-PNL-FAB</t>
  </si>
  <si>
    <t>VISTA BOND PANEL FABRIC</t>
  </si>
  <si>
    <t>FBR-VIS-FOM-PNL-FAB</t>
  </si>
  <si>
    <t>VISTA FOAM PANEL FABRIC</t>
  </si>
  <si>
    <t>FBR-VIS-SFT-PNL-FAB</t>
  </si>
  <si>
    <t>VISTA SOFT PANEL FABRIC</t>
  </si>
  <si>
    <t>B-MEM-DB</t>
  </si>
  <si>
    <t>B-MEM-GR</t>
  </si>
  <si>
    <t>TMR</t>
  </si>
  <si>
    <t>P-CAR-LAT</t>
  </si>
  <si>
    <t>B-HR-LAT</t>
  </si>
  <si>
    <t>P-HR-LAT</t>
  </si>
  <si>
    <t>L-FOM-MINI</t>
  </si>
  <si>
    <t>L-FOM</t>
  </si>
  <si>
    <t>L-FOM-F</t>
  </si>
  <si>
    <t>L-FUR-MINI</t>
  </si>
  <si>
    <t>L-INS-LAT-MINI</t>
  </si>
  <si>
    <t>L-INS-LAT-F</t>
  </si>
  <si>
    <t>L-INS-MEM-MINI</t>
  </si>
  <si>
    <t>L-INS-MEM-F</t>
  </si>
  <si>
    <t>L-INS-MINI</t>
  </si>
  <si>
    <t>L-INS-F</t>
  </si>
  <si>
    <t>L-CIR-LOGO</t>
  </si>
  <si>
    <t>MRP-S</t>
  </si>
  <si>
    <t>L-MEM-MINI</t>
  </si>
  <si>
    <t>L-MEM-F</t>
  </si>
  <si>
    <t>L-VB-F</t>
  </si>
  <si>
    <t>L-MEM-ULT-MINI</t>
  </si>
  <si>
    <t>L-CIR-F</t>
  </si>
  <si>
    <t>L-SPS-F</t>
  </si>
  <si>
    <t>L-VB-MINI</t>
  </si>
  <si>
    <t>ET-BLK</t>
  </si>
  <si>
    <t>ET-SSF</t>
  </si>
  <si>
    <t>H-SPG-WH</t>
  </si>
  <si>
    <t>P-FOM-BL</t>
  </si>
  <si>
    <t>P-FOM-MR</t>
  </si>
  <si>
    <t>P-HS</t>
  </si>
  <si>
    <t>P-INS-MR</t>
  </si>
  <si>
    <t>P-INS-GRN</t>
  </si>
  <si>
    <t>P-INS-PNK</t>
  </si>
  <si>
    <t>P-INS-BL</t>
  </si>
  <si>
    <t>P-INS-GR</t>
  </si>
  <si>
    <t>P-KOZ-DB</t>
  </si>
  <si>
    <t>P-KOZ-MR</t>
  </si>
  <si>
    <t>P-MAT-TOP</t>
  </si>
  <si>
    <t>L-MAT-TOP</t>
  </si>
  <si>
    <t>P-MIR-MR</t>
  </si>
  <si>
    <t>P-PAN-LB</t>
  </si>
  <si>
    <t>L-PEPS-LOGO-F</t>
  </si>
  <si>
    <t>L-PEPS-LOGO</t>
  </si>
  <si>
    <t>L-SOFA-BED</t>
  </si>
  <si>
    <t>L-SOFA-BED-F</t>
  </si>
  <si>
    <t>L-SSF-COR</t>
  </si>
  <si>
    <t>REX-BLK</t>
  </si>
  <si>
    <t>L-SPG-F</t>
  </si>
  <si>
    <t>L-SPG</t>
  </si>
  <si>
    <t>B-SPS-GR</t>
  </si>
  <si>
    <t>B-SPG-WH</t>
  </si>
  <si>
    <t>B-SSF-MR</t>
  </si>
  <si>
    <t>P-VB</t>
  </si>
  <si>
    <t>P-VB-FM</t>
  </si>
  <si>
    <t>P-VB-SF</t>
  </si>
  <si>
    <t>VISTA FOAM</t>
  </si>
  <si>
    <t>SFG-VISTAFM-BOR-72X30X04</t>
  </si>
  <si>
    <t>SFG-VISTAFM-BOR-72X30X05</t>
  </si>
  <si>
    <t>SFG-VISTAFM-BOR-72X30X06</t>
  </si>
  <si>
    <t>SFG-VISTAFM-BOR-</t>
  </si>
  <si>
    <t>SFG-VISFM-BOR-18CM</t>
  </si>
  <si>
    <t>RML-CIR-VIS-FOM-SDE-LBL-FUS</t>
  </si>
  <si>
    <t>CIRRUS VISTA FOAM SIDE LABLE (FUSING LABEL)</t>
  </si>
  <si>
    <t>L-VB-FM-F</t>
  </si>
  <si>
    <t>SFG-VISFM-BOR-15CM</t>
  </si>
  <si>
    <t>SFG-VISFM-BOR-20CM</t>
  </si>
  <si>
    <t>VISTA SOFT</t>
  </si>
  <si>
    <t>SFG-VISTAST-BOR-</t>
  </si>
  <si>
    <t>VS-FM</t>
  </si>
  <si>
    <t>VS-SF</t>
  </si>
  <si>
    <t>SFG-VISST-BOR-15CM</t>
  </si>
  <si>
    <t>SFG-VISST-BOR-18CM</t>
  </si>
  <si>
    <t>SFG-VISST-BOR-20CM</t>
  </si>
  <si>
    <t>SFG-VISTAST-BOR-72X30X04</t>
  </si>
  <si>
    <t>SFG-VISTAST-BOR-72X30X05</t>
  </si>
  <si>
    <t>SFG-VISTAST-BOR-72X30X06</t>
  </si>
  <si>
    <t>VS-FM-15</t>
  </si>
  <si>
    <t>VS-FM-18</t>
  </si>
  <si>
    <t>VS-FM-20</t>
  </si>
  <si>
    <t>VS-SF-15</t>
  </si>
  <si>
    <t>VS-SF-18</t>
  </si>
  <si>
    <t>VS-SF-20</t>
  </si>
  <si>
    <t xml:space="preserve">ROLL WAY </t>
  </si>
  <si>
    <t>SFG-ROLLAWAY-BOR-72X30X04</t>
  </si>
  <si>
    <t>SFG-ROLLAWAY-BOR-72X30X05</t>
  </si>
  <si>
    <t>SFG-ROLLAWAY-BOR-72X30X06</t>
  </si>
  <si>
    <t>SFG-ROLLAWAY-BOR-</t>
  </si>
  <si>
    <t>28D-PRE-FOAM-72X30X140MM</t>
  </si>
  <si>
    <t>28D-PRE-FOAM-72X30X90MM</t>
  </si>
  <si>
    <t>28D-PRE-FOAM-72X36X115MM</t>
  </si>
  <si>
    <t>SFG-ROLLAWAY-BOR-13CM</t>
  </si>
  <si>
    <t>SFG-ROLLAWAY-BOR-17CM</t>
  </si>
  <si>
    <t>SFG-ROLLAWAY-BOR-19CM</t>
  </si>
  <si>
    <t>RL-WAY</t>
  </si>
  <si>
    <t>RL-WAY-13</t>
  </si>
  <si>
    <t>RL-WAY-17</t>
  </si>
  <si>
    <t>RL-WAY-19</t>
  </si>
  <si>
    <t>CAPRINA HR</t>
  </si>
  <si>
    <t>SFG-CAP-LTX-BOR-72X30X05</t>
  </si>
  <si>
    <t>SFG-CAP-LTX-BOR-72X30X06</t>
  </si>
  <si>
    <t>SFG-CAP-LTX-BOR-</t>
  </si>
  <si>
    <t>SFG-CAP-LTX-BOR-18CM</t>
  </si>
  <si>
    <t>RML-CIR-HR-FOM-LAT-SDE-LBL-FUS</t>
  </si>
  <si>
    <t>CIRRUS HR FOAM + LATEX SIDE LABLE (FUSING LABEL)</t>
  </si>
  <si>
    <t>SFG-CAP-LTX-BOR-21CM</t>
  </si>
  <si>
    <t>SFG-CAP-MEM-BOR-72X30X05</t>
  </si>
  <si>
    <t>SFG-CAP-MEM-BOR-72X30X06</t>
  </si>
  <si>
    <t>SFG-CAP-MEM-BOR-19CM</t>
  </si>
  <si>
    <t>SFG-CAP-MEM-BOR-21CM</t>
  </si>
  <si>
    <t>SFG-CAP-MEM-BOR-</t>
  </si>
  <si>
    <t>CAP-LAT</t>
  </si>
  <si>
    <t>CAP-MEM</t>
  </si>
  <si>
    <t>L-CAP-MEM-F</t>
  </si>
  <si>
    <t>L-CAP-LAT-F</t>
  </si>
  <si>
    <t>CAP-LAT-18</t>
  </si>
  <si>
    <t>CAP-LAT-21</t>
  </si>
  <si>
    <t>CAP-MEM-19</t>
  </si>
  <si>
    <t>CAP-MEM-21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</si>
</sst>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409]h\.mm\ AM/PM;@"/>
    <numFmt numFmtId="165" formatCode="[$-10409]hh:mm\ AM/PM;@"/>
    <numFmt numFmtId="166" formatCode="ddd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Bookman Old Style"/>
      <family val="1"/>
    </font>
    <font>
      <b/>
      <sz val="20"/>
      <color theme="1"/>
      <name val="Bookman Old Style"/>
      <family val="1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sz val="20"/>
      <color theme="1"/>
      <name val="Bookman Old Style"/>
      <family val="1"/>
    </font>
    <font>
      <sz val="16"/>
      <color theme="1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77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2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3" borderId="1" xfId="0" applyNumberFormat="1" applyFont="1" applyFill="1" applyBorder="1" applyAlignment="1"/>
    <xf numFmtId="0" fontId="4" fillId="3" borderId="1" xfId="0" applyNumberFormat="1" applyFont="1" applyFill="1" applyBorder="1" applyAlignment="1">
      <alignment vertical="center"/>
    </xf>
    <xf numFmtId="0" fontId="2" fillId="0" borderId="0" xfId="0" applyFont="1" applyBorder="1" applyAlignment="1"/>
    <xf numFmtId="0" fontId="2" fillId="2" borderId="1" xfId="0" applyFont="1" applyFill="1" applyBorder="1" applyAlignment="1"/>
    <xf numFmtId="0" fontId="2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4" fillId="3" borderId="1" xfId="0" applyNumberFormat="1" applyFont="1" applyFill="1" applyBorder="1" applyAlignment="1">
      <alignment horizontal="left" vertical="top"/>
    </xf>
    <xf numFmtId="0" fontId="4" fillId="2" borderId="1" xfId="0" applyNumberFormat="1" applyFont="1" applyFill="1" applyBorder="1" applyAlignment="1">
      <alignment horizontal="left" vertical="top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0" fillId="0" borderId="0" xfId="0" applyFont="1"/>
    <xf numFmtId="0" fontId="10" fillId="0" borderId="14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5" xfId="1"/>
    <cellStyle name="Normal 7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81" workbookViewId="0">
      <selection activeCell="B76" sqref="B76"/>
    </sheetView>
  </sheetViews>
  <sheetFormatPr defaultRowHeight="15" x14ac:dyDescent="0.25"/>
  <cols>
    <col min="2" max="2" width="17.42578125" bestFit="1" customWidth="1"/>
    <col min="3" max="3" width="27.42578125" bestFit="1" customWidth="1"/>
  </cols>
  <sheetData>
    <row r="1" spans="1:3" x14ac:dyDescent="0.25">
      <c r="A1" t="s">
        <v>174</v>
      </c>
      <c r="B1" t="s">
        <v>17</v>
      </c>
      <c r="C1" t="s">
        <v>0</v>
      </c>
    </row>
    <row r="2" spans="1:3" x14ac:dyDescent="0.25">
      <c r="A2">
        <v>1</v>
      </c>
      <c r="B2" t="s">
        <v>176</v>
      </c>
      <c r="C2" t="s">
        <v>54</v>
      </c>
    </row>
    <row r="3" spans="1:3" x14ac:dyDescent="0.25">
      <c r="A3">
        <v>2</v>
      </c>
      <c r="B3" t="s">
        <v>177</v>
      </c>
      <c r="C3" t="s">
        <v>55</v>
      </c>
    </row>
    <row r="4" spans="1:3" x14ac:dyDescent="0.25">
      <c r="A4">
        <v>3</v>
      </c>
      <c r="B4" t="s">
        <v>175</v>
      </c>
      <c r="C4" t="s">
        <v>56</v>
      </c>
    </row>
    <row r="5" spans="1:3" x14ac:dyDescent="0.25">
      <c r="A5">
        <v>4</v>
      </c>
      <c r="B5" t="s">
        <v>28</v>
      </c>
      <c r="C5" t="s">
        <v>57</v>
      </c>
    </row>
    <row r="6" spans="1:3" x14ac:dyDescent="0.25">
      <c r="A6">
        <v>5</v>
      </c>
      <c r="B6" t="s">
        <v>27</v>
      </c>
      <c r="C6" t="s">
        <v>58</v>
      </c>
    </row>
    <row r="7" spans="1:3" x14ac:dyDescent="0.25">
      <c r="A7">
        <v>6</v>
      </c>
      <c r="B7" t="s">
        <v>26</v>
      </c>
      <c r="C7" t="s">
        <v>51</v>
      </c>
    </row>
    <row r="8" spans="1:3" x14ac:dyDescent="0.25">
      <c r="A8">
        <v>7</v>
      </c>
      <c r="B8" t="s">
        <v>25</v>
      </c>
      <c r="C8" t="s">
        <v>59</v>
      </c>
    </row>
    <row r="9" spans="1:3" x14ac:dyDescent="0.25">
      <c r="A9">
        <v>8</v>
      </c>
      <c r="B9" t="s">
        <v>178</v>
      </c>
      <c r="C9" t="s">
        <v>60</v>
      </c>
    </row>
    <row r="10" spans="1:3" x14ac:dyDescent="0.25">
      <c r="A10">
        <v>9</v>
      </c>
      <c r="B10" t="s">
        <v>179</v>
      </c>
      <c r="C10" t="s">
        <v>61</v>
      </c>
    </row>
    <row r="11" spans="1:3" x14ac:dyDescent="0.25">
      <c r="A11">
        <v>10</v>
      </c>
      <c r="B11" t="s">
        <v>180</v>
      </c>
      <c r="C11" t="s">
        <v>62</v>
      </c>
    </row>
    <row r="12" spans="1:3" x14ac:dyDescent="0.25">
      <c r="A12">
        <v>11</v>
      </c>
      <c r="B12" t="s">
        <v>35</v>
      </c>
      <c r="C12" t="s">
        <v>63</v>
      </c>
    </row>
    <row r="13" spans="1:3" x14ac:dyDescent="0.25">
      <c r="A13">
        <v>12</v>
      </c>
      <c r="B13" t="s">
        <v>36</v>
      </c>
      <c r="C13" t="s">
        <v>64</v>
      </c>
    </row>
    <row r="14" spans="1:3" x14ac:dyDescent="0.25">
      <c r="A14">
        <v>13</v>
      </c>
      <c r="B14" t="s">
        <v>181</v>
      </c>
      <c r="C14" t="s">
        <v>65</v>
      </c>
    </row>
    <row r="15" spans="1:3" x14ac:dyDescent="0.25">
      <c r="A15">
        <v>14</v>
      </c>
      <c r="B15" t="s">
        <v>182</v>
      </c>
      <c r="C15" t="s">
        <v>66</v>
      </c>
    </row>
    <row r="16" spans="1:3" x14ac:dyDescent="0.25">
      <c r="A16">
        <v>15</v>
      </c>
      <c r="B16" t="s">
        <v>183</v>
      </c>
      <c r="C16" t="s">
        <v>67</v>
      </c>
    </row>
    <row r="17" spans="1:3" x14ac:dyDescent="0.25">
      <c r="A17">
        <v>16</v>
      </c>
      <c r="B17" t="s">
        <v>184</v>
      </c>
      <c r="C17" t="s">
        <v>68</v>
      </c>
    </row>
    <row r="18" spans="1:3" x14ac:dyDescent="0.25">
      <c r="A18">
        <v>17</v>
      </c>
      <c r="B18" t="s">
        <v>185</v>
      </c>
      <c r="C18" t="s">
        <v>69</v>
      </c>
    </row>
    <row r="19" spans="1:3" x14ac:dyDescent="0.25">
      <c r="A19">
        <v>18</v>
      </c>
      <c r="B19" t="s">
        <v>37</v>
      </c>
      <c r="C19" t="s">
        <v>70</v>
      </c>
    </row>
    <row r="20" spans="1:3" x14ac:dyDescent="0.25">
      <c r="A20">
        <v>19</v>
      </c>
      <c r="C20" t="s">
        <v>71</v>
      </c>
    </row>
    <row r="21" spans="1:3" x14ac:dyDescent="0.25">
      <c r="A21">
        <v>20</v>
      </c>
      <c r="C21" t="s">
        <v>72</v>
      </c>
    </row>
    <row r="22" spans="1:3" x14ac:dyDescent="0.25">
      <c r="A22">
        <v>21</v>
      </c>
      <c r="B22" t="s">
        <v>186</v>
      </c>
      <c r="C22" t="s">
        <v>73</v>
      </c>
    </row>
    <row r="23" spans="1:3" x14ac:dyDescent="0.25">
      <c r="A23">
        <v>22</v>
      </c>
      <c r="B23" t="s">
        <v>44</v>
      </c>
      <c r="C23" t="s">
        <v>74</v>
      </c>
    </row>
    <row r="24" spans="1:3" x14ac:dyDescent="0.25">
      <c r="A24">
        <v>23</v>
      </c>
      <c r="B24" t="s">
        <v>39</v>
      </c>
      <c r="C24" t="s">
        <v>49</v>
      </c>
    </row>
    <row r="25" spans="1:3" x14ac:dyDescent="0.25">
      <c r="A25">
        <v>24</v>
      </c>
      <c r="B25" t="s">
        <v>40</v>
      </c>
      <c r="C25" t="s">
        <v>50</v>
      </c>
    </row>
    <row r="26" spans="1:3" x14ac:dyDescent="0.25">
      <c r="A26">
        <v>25</v>
      </c>
      <c r="B26" t="s">
        <v>41</v>
      </c>
      <c r="C26" t="s">
        <v>48</v>
      </c>
    </row>
    <row r="27" spans="1:3" x14ac:dyDescent="0.25">
      <c r="A27">
        <v>26</v>
      </c>
      <c r="C27" t="s">
        <v>75</v>
      </c>
    </row>
    <row r="28" spans="1:3" x14ac:dyDescent="0.25">
      <c r="A28">
        <v>27</v>
      </c>
      <c r="B28" t="s">
        <v>24</v>
      </c>
      <c r="C28" t="s">
        <v>76</v>
      </c>
    </row>
    <row r="29" spans="1:3" x14ac:dyDescent="0.25">
      <c r="A29">
        <v>28</v>
      </c>
      <c r="B29" t="s">
        <v>42</v>
      </c>
      <c r="C29" t="s">
        <v>52</v>
      </c>
    </row>
    <row r="30" spans="1:3" x14ac:dyDescent="0.25">
      <c r="A30">
        <v>29</v>
      </c>
      <c r="B30" t="s">
        <v>43</v>
      </c>
      <c r="C30" t="s">
        <v>77</v>
      </c>
    </row>
    <row r="31" spans="1:3" x14ac:dyDescent="0.25">
      <c r="A31">
        <v>30</v>
      </c>
      <c r="B31" t="s">
        <v>22</v>
      </c>
      <c r="C31" t="s">
        <v>78</v>
      </c>
    </row>
    <row r="32" spans="1:3" x14ac:dyDescent="0.25">
      <c r="A32">
        <v>31</v>
      </c>
      <c r="B32" t="s">
        <v>23</v>
      </c>
      <c r="C32" t="s">
        <v>79</v>
      </c>
    </row>
    <row r="33" spans="1:3" x14ac:dyDescent="0.25">
      <c r="A33">
        <v>32</v>
      </c>
      <c r="B33" t="s">
        <v>21</v>
      </c>
      <c r="C33" t="s">
        <v>80</v>
      </c>
    </row>
    <row r="34" spans="1:3" x14ac:dyDescent="0.25">
      <c r="A34">
        <v>33</v>
      </c>
      <c r="B34" t="s">
        <v>187</v>
      </c>
      <c r="C34" t="s">
        <v>81</v>
      </c>
    </row>
    <row r="35" spans="1:3" x14ac:dyDescent="0.25">
      <c r="A35">
        <v>34</v>
      </c>
      <c r="B35" t="s">
        <v>188</v>
      </c>
      <c r="C35" t="s">
        <v>82</v>
      </c>
    </row>
    <row r="36" spans="1:3" x14ac:dyDescent="0.25">
      <c r="A36">
        <v>35</v>
      </c>
      <c r="B36" t="s">
        <v>189</v>
      </c>
      <c r="C36" t="s">
        <v>83</v>
      </c>
    </row>
    <row r="37" spans="1:3" x14ac:dyDescent="0.25">
      <c r="A37">
        <v>36</v>
      </c>
      <c r="B37" t="s">
        <v>190</v>
      </c>
      <c r="C37" t="s">
        <v>84</v>
      </c>
    </row>
    <row r="38" spans="1:3" x14ac:dyDescent="0.25">
      <c r="A38">
        <v>37</v>
      </c>
      <c r="B38" t="s">
        <v>191</v>
      </c>
      <c r="C38" t="s">
        <v>85</v>
      </c>
    </row>
    <row r="39" spans="1:3" x14ac:dyDescent="0.25">
      <c r="A39">
        <v>38</v>
      </c>
      <c r="B39" t="s">
        <v>192</v>
      </c>
      <c r="C39" t="s">
        <v>86</v>
      </c>
    </row>
    <row r="40" spans="1:3" x14ac:dyDescent="0.25">
      <c r="A40">
        <v>39</v>
      </c>
      <c r="B40" t="s">
        <v>193</v>
      </c>
      <c r="C40" t="s">
        <v>87</v>
      </c>
    </row>
    <row r="41" spans="1:3" x14ac:dyDescent="0.25">
      <c r="A41">
        <v>40</v>
      </c>
      <c r="B41" t="s">
        <v>194</v>
      </c>
      <c r="C41" t="s">
        <v>88</v>
      </c>
    </row>
    <row r="42" spans="1:3" x14ac:dyDescent="0.25">
      <c r="A42">
        <v>41</v>
      </c>
      <c r="B42" t="s">
        <v>195</v>
      </c>
      <c r="C42" t="s">
        <v>89</v>
      </c>
    </row>
    <row r="43" spans="1:3" x14ac:dyDescent="0.25">
      <c r="A43">
        <v>42</v>
      </c>
      <c r="B43" t="s">
        <v>196</v>
      </c>
      <c r="C43" t="s">
        <v>90</v>
      </c>
    </row>
    <row r="44" spans="1:3" x14ac:dyDescent="0.25">
      <c r="A44">
        <v>43</v>
      </c>
      <c r="B44" t="s">
        <v>197</v>
      </c>
      <c r="C44" t="s">
        <v>91</v>
      </c>
    </row>
    <row r="45" spans="1:3" x14ac:dyDescent="0.25">
      <c r="A45">
        <v>44</v>
      </c>
      <c r="B45" t="s">
        <v>198</v>
      </c>
      <c r="C45" t="s">
        <v>92</v>
      </c>
    </row>
    <row r="46" spans="1:3" x14ac:dyDescent="0.25">
      <c r="A46">
        <v>45</v>
      </c>
      <c r="B46" t="s">
        <v>199</v>
      </c>
      <c r="C46" t="s">
        <v>93</v>
      </c>
    </row>
    <row r="47" spans="1:3" x14ac:dyDescent="0.25">
      <c r="A47">
        <v>46</v>
      </c>
      <c r="B47" t="s">
        <v>200</v>
      </c>
      <c r="C47" t="s">
        <v>94</v>
      </c>
    </row>
    <row r="48" spans="1:3" x14ac:dyDescent="0.25">
      <c r="A48">
        <v>47</v>
      </c>
      <c r="B48" t="s">
        <v>201</v>
      </c>
      <c r="C48" t="s">
        <v>95</v>
      </c>
    </row>
    <row r="49" spans="1:3" x14ac:dyDescent="0.25">
      <c r="A49">
        <v>48</v>
      </c>
      <c r="B49" t="s">
        <v>202</v>
      </c>
      <c r="C49" t="s">
        <v>53</v>
      </c>
    </row>
    <row r="50" spans="1:3" x14ac:dyDescent="0.25">
      <c r="A50">
        <v>49</v>
      </c>
      <c r="B50" t="s">
        <v>203</v>
      </c>
      <c r="C50" t="s">
        <v>96</v>
      </c>
    </row>
    <row r="51" spans="1:3" x14ac:dyDescent="0.25">
      <c r="A51">
        <v>50</v>
      </c>
      <c r="B51" t="s">
        <v>204</v>
      </c>
      <c r="C51" t="s">
        <v>97</v>
      </c>
    </row>
    <row r="52" spans="1:3" x14ac:dyDescent="0.25">
      <c r="A52">
        <v>51</v>
      </c>
      <c r="B52" t="s">
        <v>208</v>
      </c>
      <c r="C52" t="s">
        <v>98</v>
      </c>
    </row>
    <row r="53" spans="1:3" x14ac:dyDescent="0.25">
      <c r="A53">
        <v>52</v>
      </c>
      <c r="B53" t="s">
        <v>205</v>
      </c>
      <c r="C53" t="s">
        <v>99</v>
      </c>
    </row>
    <row r="54" spans="1:3" x14ac:dyDescent="0.25">
      <c r="A54">
        <v>53</v>
      </c>
      <c r="B54" t="s">
        <v>209</v>
      </c>
      <c r="C54" t="s">
        <v>100</v>
      </c>
    </row>
    <row r="55" spans="1:3" x14ac:dyDescent="0.25">
      <c r="A55">
        <v>54</v>
      </c>
      <c r="B55" t="s">
        <v>38</v>
      </c>
      <c r="C55" t="s">
        <v>101</v>
      </c>
    </row>
    <row r="56" spans="1:3" x14ac:dyDescent="0.25">
      <c r="A56">
        <v>55</v>
      </c>
      <c r="B56" t="s">
        <v>210</v>
      </c>
      <c r="C56" t="s">
        <v>102</v>
      </c>
    </row>
    <row r="57" spans="1:3" x14ac:dyDescent="0.25">
      <c r="A57">
        <v>56</v>
      </c>
      <c r="B57" t="s">
        <v>211</v>
      </c>
      <c r="C57" t="s">
        <v>103</v>
      </c>
    </row>
    <row r="58" spans="1:3" x14ac:dyDescent="0.25">
      <c r="A58">
        <v>57</v>
      </c>
      <c r="B58" t="s">
        <v>212</v>
      </c>
      <c r="C58" t="s">
        <v>104</v>
      </c>
    </row>
    <row r="59" spans="1:3" x14ac:dyDescent="0.25">
      <c r="A59">
        <v>58</v>
      </c>
      <c r="B59" t="s">
        <v>213</v>
      </c>
      <c r="C59" t="s">
        <v>105</v>
      </c>
    </row>
    <row r="60" spans="1:3" x14ac:dyDescent="0.25">
      <c r="A60">
        <v>59</v>
      </c>
      <c r="B60" t="s">
        <v>214</v>
      </c>
      <c r="C60" t="s">
        <v>106</v>
      </c>
    </row>
    <row r="61" spans="1:3" x14ac:dyDescent="0.25">
      <c r="A61">
        <v>60</v>
      </c>
      <c r="B61" t="s">
        <v>206</v>
      </c>
      <c r="C61" t="s">
        <v>107</v>
      </c>
    </row>
    <row r="62" spans="1:3" x14ac:dyDescent="0.25">
      <c r="A62">
        <v>61</v>
      </c>
      <c r="B62" t="s">
        <v>207</v>
      </c>
      <c r="C62" t="s">
        <v>108</v>
      </c>
    </row>
    <row r="63" spans="1:3" x14ac:dyDescent="0.25">
      <c r="A63">
        <v>62</v>
      </c>
      <c r="B63" t="s">
        <v>215</v>
      </c>
      <c r="C63" t="s">
        <v>109</v>
      </c>
    </row>
    <row r="64" spans="1:3" x14ac:dyDescent="0.25">
      <c r="A64">
        <v>63</v>
      </c>
      <c r="B64" t="s">
        <v>32</v>
      </c>
      <c r="C64" t="s">
        <v>110</v>
      </c>
    </row>
    <row r="65" spans="1:3" x14ac:dyDescent="0.25">
      <c r="A65">
        <v>64</v>
      </c>
      <c r="B65" t="s">
        <v>216</v>
      </c>
      <c r="C65" t="s">
        <v>111</v>
      </c>
    </row>
    <row r="66" spans="1:3" x14ac:dyDescent="0.25">
      <c r="A66">
        <v>65</v>
      </c>
      <c r="B66" t="s">
        <v>264</v>
      </c>
      <c r="C66" t="s">
        <v>112</v>
      </c>
    </row>
    <row r="67" spans="1:3" x14ac:dyDescent="0.25">
      <c r="A67">
        <v>66</v>
      </c>
      <c r="B67" t="s">
        <v>265</v>
      </c>
      <c r="C67" t="s">
        <v>113</v>
      </c>
    </row>
    <row r="68" spans="1:3" x14ac:dyDescent="0.25">
      <c r="A68">
        <v>67</v>
      </c>
      <c r="B68" t="s">
        <v>266</v>
      </c>
      <c r="C68" t="s">
        <v>114</v>
      </c>
    </row>
    <row r="69" spans="1:3" x14ac:dyDescent="0.25">
      <c r="A69">
        <v>68</v>
      </c>
      <c r="B69" t="s">
        <v>267</v>
      </c>
      <c r="C69" t="s">
        <v>115</v>
      </c>
    </row>
    <row r="70" spans="1:3" x14ac:dyDescent="0.25">
      <c r="A70">
        <v>69</v>
      </c>
      <c r="B70" t="s">
        <v>268</v>
      </c>
      <c r="C70" t="s">
        <v>116</v>
      </c>
    </row>
    <row r="71" spans="1:3" x14ac:dyDescent="0.25">
      <c r="A71">
        <v>70</v>
      </c>
      <c r="B71" t="s">
        <v>269</v>
      </c>
      <c r="C71" t="s">
        <v>117</v>
      </c>
    </row>
    <row r="72" spans="1:3" x14ac:dyDescent="0.25">
      <c r="A72">
        <v>71</v>
      </c>
      <c r="B72" t="s">
        <v>270</v>
      </c>
      <c r="C72" t="s">
        <v>118</v>
      </c>
    </row>
    <row r="73" spans="1:3" x14ac:dyDescent="0.25">
      <c r="A73">
        <v>72</v>
      </c>
      <c r="B73" t="s">
        <v>271</v>
      </c>
      <c r="C73" t="s">
        <v>119</v>
      </c>
    </row>
    <row r="74" spans="1:3" x14ac:dyDescent="0.25">
      <c r="A74">
        <v>73</v>
      </c>
      <c r="B74" t="s">
        <v>263</v>
      </c>
      <c r="C74" t="s">
        <v>120</v>
      </c>
    </row>
    <row r="75" spans="1:3" x14ac:dyDescent="0.25">
      <c r="A75">
        <v>74</v>
      </c>
      <c r="B75" t="s">
        <v>272</v>
      </c>
      <c r="C75" t="s">
        <v>121</v>
      </c>
    </row>
    <row r="76" spans="1:3" x14ac:dyDescent="0.25">
      <c r="A76">
        <v>75</v>
      </c>
      <c r="B76" t="s">
        <v>217</v>
      </c>
      <c r="C76" t="s">
        <v>122</v>
      </c>
    </row>
    <row r="77" spans="1:3" x14ac:dyDescent="0.25">
      <c r="A77">
        <v>76</v>
      </c>
      <c r="B77" t="s">
        <v>218</v>
      </c>
      <c r="C77" t="s">
        <v>123</v>
      </c>
    </row>
    <row r="78" spans="1:3" x14ac:dyDescent="0.25">
      <c r="A78">
        <v>77</v>
      </c>
      <c r="B78" t="s">
        <v>219</v>
      </c>
      <c r="C78" t="s">
        <v>124</v>
      </c>
    </row>
    <row r="79" spans="1:3" x14ac:dyDescent="0.25">
      <c r="A79">
        <v>78</v>
      </c>
      <c r="B79" t="s">
        <v>220</v>
      </c>
      <c r="C79" t="s">
        <v>125</v>
      </c>
    </row>
    <row r="80" spans="1:3" x14ac:dyDescent="0.25">
      <c r="A80">
        <v>79</v>
      </c>
      <c r="B80" t="s">
        <v>221</v>
      </c>
      <c r="C80" t="s">
        <v>126</v>
      </c>
    </row>
    <row r="81" spans="1:3" x14ac:dyDescent="0.25">
      <c r="A81">
        <v>80</v>
      </c>
      <c r="B81" t="s">
        <v>222</v>
      </c>
      <c r="C81" t="s">
        <v>127</v>
      </c>
    </row>
    <row r="82" spans="1:3" x14ac:dyDescent="0.25">
      <c r="A82">
        <v>81</v>
      </c>
      <c r="B82" t="s">
        <v>223</v>
      </c>
      <c r="C82" t="s">
        <v>128</v>
      </c>
    </row>
    <row r="83" spans="1:3" x14ac:dyDescent="0.25">
      <c r="A83">
        <v>82</v>
      </c>
      <c r="B83" t="s">
        <v>224</v>
      </c>
      <c r="C83" t="s">
        <v>129</v>
      </c>
    </row>
    <row r="84" spans="1:3" x14ac:dyDescent="0.25">
      <c r="A84">
        <v>83</v>
      </c>
      <c r="B84" t="s">
        <v>225</v>
      </c>
      <c r="C84" t="s">
        <v>130</v>
      </c>
    </row>
    <row r="85" spans="1:3" x14ac:dyDescent="0.25">
      <c r="A85">
        <v>84</v>
      </c>
      <c r="B85" t="s">
        <v>226</v>
      </c>
      <c r="C85" t="s">
        <v>131</v>
      </c>
    </row>
    <row r="86" spans="1:3" x14ac:dyDescent="0.25">
      <c r="A86">
        <v>85</v>
      </c>
      <c r="B86" t="s">
        <v>227</v>
      </c>
      <c r="C86" t="s">
        <v>132</v>
      </c>
    </row>
    <row r="87" spans="1:3" x14ac:dyDescent="0.25">
      <c r="A87">
        <v>86</v>
      </c>
      <c r="B87" t="s">
        <v>228</v>
      </c>
      <c r="C87" t="s">
        <v>133</v>
      </c>
    </row>
    <row r="88" spans="1:3" x14ac:dyDescent="0.25">
      <c r="A88">
        <v>87</v>
      </c>
      <c r="B88" t="s">
        <v>229</v>
      </c>
      <c r="C88" t="s">
        <v>134</v>
      </c>
    </row>
    <row r="89" spans="1:3" x14ac:dyDescent="0.25">
      <c r="A89">
        <v>88</v>
      </c>
      <c r="B89" t="s">
        <v>230</v>
      </c>
      <c r="C89" t="s">
        <v>135</v>
      </c>
    </row>
    <row r="90" spans="1:3" x14ac:dyDescent="0.25">
      <c r="A90">
        <v>89</v>
      </c>
      <c r="B90" t="s">
        <v>231</v>
      </c>
      <c r="C90" t="s">
        <v>136</v>
      </c>
    </row>
    <row r="91" spans="1:3" x14ac:dyDescent="0.25">
      <c r="A91">
        <v>90</v>
      </c>
      <c r="B91" t="s">
        <v>232</v>
      </c>
      <c r="C91" t="s">
        <v>137</v>
      </c>
    </row>
    <row r="92" spans="1:3" x14ac:dyDescent="0.25">
      <c r="A92">
        <v>91</v>
      </c>
      <c r="B92" t="s">
        <v>233</v>
      </c>
      <c r="C92" t="s">
        <v>138</v>
      </c>
    </row>
    <row r="93" spans="1:3" x14ac:dyDescent="0.25">
      <c r="A93">
        <v>92</v>
      </c>
      <c r="B93" t="s">
        <v>234</v>
      </c>
      <c r="C93" t="s">
        <v>139</v>
      </c>
    </row>
    <row r="94" spans="1:3" x14ac:dyDescent="0.25">
      <c r="A94">
        <v>93</v>
      </c>
      <c r="B94" t="s">
        <v>235</v>
      </c>
      <c r="C94" t="s">
        <v>140</v>
      </c>
    </row>
    <row r="95" spans="1:3" x14ac:dyDescent="0.25">
      <c r="A95">
        <v>94</v>
      </c>
      <c r="B95" t="s">
        <v>236</v>
      </c>
      <c r="C95" t="s">
        <v>141</v>
      </c>
    </row>
    <row r="96" spans="1:3" x14ac:dyDescent="0.25">
      <c r="A96">
        <v>95</v>
      </c>
      <c r="B96" t="s">
        <v>237</v>
      </c>
      <c r="C96" t="s">
        <v>142</v>
      </c>
    </row>
    <row r="97" spans="1:3" x14ac:dyDescent="0.25">
      <c r="A97">
        <v>96</v>
      </c>
      <c r="B97" t="s">
        <v>238</v>
      </c>
      <c r="C97" t="s">
        <v>143</v>
      </c>
    </row>
    <row r="98" spans="1:3" x14ac:dyDescent="0.25">
      <c r="A98">
        <v>97</v>
      </c>
      <c r="B98" t="s">
        <v>239</v>
      </c>
      <c r="C98" t="s">
        <v>144</v>
      </c>
    </row>
    <row r="99" spans="1:3" x14ac:dyDescent="0.25">
      <c r="A99">
        <v>98</v>
      </c>
      <c r="B99" t="s">
        <v>240</v>
      </c>
      <c r="C99" t="s">
        <v>145</v>
      </c>
    </row>
    <row r="100" spans="1:3" x14ac:dyDescent="0.25">
      <c r="A100">
        <v>99</v>
      </c>
      <c r="B100" t="s">
        <v>241</v>
      </c>
      <c r="C100" t="s">
        <v>146</v>
      </c>
    </row>
    <row r="101" spans="1:3" x14ac:dyDescent="0.25">
      <c r="A101">
        <v>100</v>
      </c>
      <c r="B101" t="s">
        <v>242</v>
      </c>
      <c r="C101" t="s">
        <v>147</v>
      </c>
    </row>
    <row r="102" spans="1:3" x14ac:dyDescent="0.25">
      <c r="A102">
        <v>101</v>
      </c>
      <c r="B102" t="s">
        <v>243</v>
      </c>
      <c r="C102" t="s">
        <v>148</v>
      </c>
    </row>
    <row r="103" spans="1:3" x14ac:dyDescent="0.25">
      <c r="A103">
        <v>102</v>
      </c>
      <c r="B103" t="s">
        <v>244</v>
      </c>
      <c r="C103" t="s">
        <v>149</v>
      </c>
    </row>
    <row r="104" spans="1:3" x14ac:dyDescent="0.25">
      <c r="A104">
        <v>103</v>
      </c>
      <c r="B104" t="s">
        <v>245</v>
      </c>
      <c r="C104" t="s">
        <v>150</v>
      </c>
    </row>
    <row r="105" spans="1:3" x14ac:dyDescent="0.25">
      <c r="A105">
        <v>104</v>
      </c>
      <c r="B105" t="s">
        <v>246</v>
      </c>
      <c r="C105" t="s">
        <v>151</v>
      </c>
    </row>
    <row r="106" spans="1:3" x14ac:dyDescent="0.25">
      <c r="A106">
        <v>105</v>
      </c>
      <c r="B106" t="s">
        <v>247</v>
      </c>
      <c r="C106" t="s">
        <v>152</v>
      </c>
    </row>
    <row r="107" spans="1:3" x14ac:dyDescent="0.25">
      <c r="A107">
        <v>106</v>
      </c>
      <c r="B107" t="s">
        <v>20</v>
      </c>
      <c r="C107" t="s">
        <v>153</v>
      </c>
    </row>
    <row r="108" spans="1:3" x14ac:dyDescent="0.25">
      <c r="A108">
        <v>107</v>
      </c>
      <c r="B108" t="s">
        <v>18</v>
      </c>
      <c r="C108" t="s">
        <v>154</v>
      </c>
    </row>
    <row r="109" spans="1:3" x14ac:dyDescent="0.25">
      <c r="A109">
        <v>108</v>
      </c>
      <c r="B109" t="s">
        <v>19</v>
      </c>
      <c r="C109" t="s">
        <v>155</v>
      </c>
    </row>
    <row r="110" spans="1:3" x14ac:dyDescent="0.25">
      <c r="A110">
        <v>109</v>
      </c>
      <c r="B110" t="s">
        <v>248</v>
      </c>
      <c r="C110" t="s">
        <v>156</v>
      </c>
    </row>
    <row r="111" spans="1:3" x14ac:dyDescent="0.25">
      <c r="A111">
        <v>110</v>
      </c>
      <c r="B111" t="s">
        <v>249</v>
      </c>
      <c r="C111" t="s">
        <v>157</v>
      </c>
    </row>
    <row r="112" spans="1:3" x14ac:dyDescent="0.25">
      <c r="A112">
        <v>111</v>
      </c>
      <c r="B112" t="s">
        <v>250</v>
      </c>
      <c r="C112" t="s">
        <v>158</v>
      </c>
    </row>
    <row r="113" spans="1:3" x14ac:dyDescent="0.25">
      <c r="A113">
        <v>112</v>
      </c>
      <c r="B113" t="s">
        <v>252</v>
      </c>
      <c r="C113" t="s">
        <v>159</v>
      </c>
    </row>
    <row r="114" spans="1:3" x14ac:dyDescent="0.25">
      <c r="A114">
        <v>113</v>
      </c>
      <c r="B114" t="s">
        <v>253</v>
      </c>
      <c r="C114" t="s">
        <v>160</v>
      </c>
    </row>
    <row r="115" spans="1:3" x14ac:dyDescent="0.25">
      <c r="A115">
        <v>114</v>
      </c>
      <c r="B115" t="s">
        <v>254</v>
      </c>
      <c r="C115" t="s">
        <v>161</v>
      </c>
    </row>
    <row r="116" spans="1:3" x14ac:dyDescent="0.25">
      <c r="A116">
        <v>115</v>
      </c>
      <c r="B116" t="s">
        <v>251</v>
      </c>
      <c r="C116" t="s">
        <v>162</v>
      </c>
    </row>
    <row r="117" spans="1:3" x14ac:dyDescent="0.25">
      <c r="A117">
        <v>116</v>
      </c>
      <c r="B117" t="s">
        <v>255</v>
      </c>
      <c r="C117" t="s">
        <v>163</v>
      </c>
    </row>
    <row r="118" spans="1:3" x14ac:dyDescent="0.25">
      <c r="A118">
        <v>117</v>
      </c>
      <c r="B118" t="s">
        <v>256</v>
      </c>
      <c r="C118" t="s">
        <v>164</v>
      </c>
    </row>
    <row r="119" spans="1:3" x14ac:dyDescent="0.25">
      <c r="A119">
        <v>118</v>
      </c>
      <c r="B119" t="s">
        <v>257</v>
      </c>
      <c r="C119" t="s">
        <v>165</v>
      </c>
    </row>
    <row r="120" spans="1:3" x14ac:dyDescent="0.25">
      <c r="A120">
        <v>119</v>
      </c>
      <c r="B120" t="s">
        <v>258</v>
      </c>
      <c r="C120" t="s">
        <v>166</v>
      </c>
    </row>
    <row r="121" spans="1:3" x14ac:dyDescent="0.25">
      <c r="A121">
        <v>120</v>
      </c>
      <c r="B121" t="s">
        <v>259</v>
      </c>
      <c r="C121" t="s">
        <v>167</v>
      </c>
    </row>
    <row r="122" spans="1:3" x14ac:dyDescent="0.25">
      <c r="A122">
        <v>121</v>
      </c>
      <c r="B122" t="s">
        <v>260</v>
      </c>
      <c r="C122" t="s">
        <v>168</v>
      </c>
    </row>
    <row r="123" spans="1:3" x14ac:dyDescent="0.25">
      <c r="A123">
        <v>122</v>
      </c>
      <c r="B123" t="s">
        <v>261</v>
      </c>
      <c r="C123" t="s">
        <v>169</v>
      </c>
    </row>
    <row r="124" spans="1:3" x14ac:dyDescent="0.25">
      <c r="A124">
        <v>123</v>
      </c>
      <c r="B124" t="s">
        <v>29</v>
      </c>
      <c r="C124" t="s">
        <v>170</v>
      </c>
    </row>
    <row r="125" spans="1:3" x14ac:dyDescent="0.25">
      <c r="A125">
        <v>124</v>
      </c>
      <c r="B125" t="s">
        <v>31</v>
      </c>
      <c r="C125" t="s">
        <v>171</v>
      </c>
    </row>
    <row r="126" spans="1:3" x14ac:dyDescent="0.25">
      <c r="A126">
        <v>125</v>
      </c>
      <c r="B126" t="s">
        <v>30</v>
      </c>
      <c r="C126" t="s">
        <v>172</v>
      </c>
    </row>
    <row r="127" spans="1:3" x14ac:dyDescent="0.25">
      <c r="A127">
        <v>126</v>
      </c>
      <c r="B127" t="s">
        <v>262</v>
      </c>
      <c r="C127" t="s">
        <v>173</v>
      </c>
    </row>
  </sheetData>
  <conditionalFormatting sqref="B1:B1048576">
    <cfRule type="duplicateValues" dxfId="1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06"/>
  <sheetViews>
    <sheetView workbookViewId="0">
      <selection activeCell="F2" sqref="F2:G86"/>
    </sheetView>
  </sheetViews>
  <sheetFormatPr defaultRowHeight="15" x14ac:dyDescent="0.25"/>
  <cols>
    <col min="2" max="2" width="9.28515625" style="51" customWidth="1"/>
    <col min="3" max="3" width="12.28515625" style="51" bestFit="1" customWidth="1"/>
    <col min="4" max="4" width="64.42578125" style="51" bestFit="1" customWidth="1"/>
    <col min="5" max="5" width="3.28515625" style="51" customWidth="1"/>
    <col min="6" max="6" width="15.85546875" style="51" bestFit="1" customWidth="1"/>
    <col min="7" max="7" width="34.42578125" style="51" bestFit="1" customWidth="1"/>
    <col min="8" max="8" width="70.5703125" style="51" bestFit="1" customWidth="1"/>
    <col min="9" max="10" width="11.28515625" style="51" customWidth="1"/>
    <col min="11" max="11" width="15.140625" style="51" customWidth="1"/>
    <col min="12" max="12" width="30.5703125" style="51" bestFit="1" customWidth="1"/>
    <col min="13" max="18" width="11.28515625" style="51" customWidth="1"/>
    <col min="21" max="21" width="22.7109375" bestFit="1" customWidth="1"/>
    <col min="22" max="22" width="127.42578125" bestFit="1" customWidth="1"/>
    <col min="23" max="23" width="14.28515625" bestFit="1" customWidth="1"/>
    <col min="24" max="24" width="65.5703125" bestFit="1" customWidth="1"/>
    <col min="25" max="25" width="57.5703125" bestFit="1" customWidth="1"/>
    <col min="27" max="27" width="28.42578125" bestFit="1" customWidth="1"/>
  </cols>
  <sheetData>
    <row r="1" spans="2:25" ht="15.75" thickBot="1" x14ac:dyDescent="0.3">
      <c r="B1" s="86" t="s">
        <v>174</v>
      </c>
      <c r="C1" s="86" t="s">
        <v>45</v>
      </c>
      <c r="D1" s="86" t="s">
        <v>0</v>
      </c>
      <c r="E1" s="87"/>
      <c r="F1" s="88" t="s">
        <v>17</v>
      </c>
      <c r="G1" s="88" t="s">
        <v>0</v>
      </c>
      <c r="H1" s="88" t="s">
        <v>426</v>
      </c>
      <c r="I1" s="88" t="s">
        <v>500</v>
      </c>
      <c r="K1" s="86" t="s">
        <v>17</v>
      </c>
      <c r="L1" s="86" t="s">
        <v>47</v>
      </c>
      <c r="N1" s="89"/>
      <c r="O1" s="89"/>
      <c r="P1" s="89"/>
      <c r="Q1" s="89"/>
      <c r="R1" s="89"/>
      <c r="T1" s="27"/>
      <c r="U1" s="27"/>
      <c r="V1" s="27"/>
      <c r="W1" s="27"/>
      <c r="X1" s="27"/>
    </row>
    <row r="2" spans="2:25" ht="24" thickBot="1" x14ac:dyDescent="0.4">
      <c r="B2" s="86">
        <v>1</v>
      </c>
      <c r="C2" s="86" t="s">
        <v>280</v>
      </c>
      <c r="D2" s="86" t="s">
        <v>74</v>
      </c>
      <c r="E2" s="87"/>
      <c r="F2" s="88" t="s">
        <v>431</v>
      </c>
      <c r="G2" s="88" t="s">
        <v>418</v>
      </c>
      <c r="H2" s="88" t="s">
        <v>419</v>
      </c>
      <c r="I2" s="88" t="s">
        <v>501</v>
      </c>
      <c r="J2" s="89"/>
      <c r="K2" s="88" t="s">
        <v>644</v>
      </c>
      <c r="L2" s="88" t="s">
        <v>417</v>
      </c>
      <c r="M2" s="89"/>
      <c r="N2" s="89"/>
      <c r="O2" s="89"/>
      <c r="P2" s="89"/>
      <c r="Q2" s="89"/>
      <c r="R2" s="89"/>
      <c r="T2" s="136" t="s">
        <v>321</v>
      </c>
      <c r="U2" s="137"/>
      <c r="V2" s="137"/>
      <c r="W2" s="137"/>
      <c r="X2" s="138"/>
    </row>
    <row r="3" spans="2:25" ht="21" thickBot="1" x14ac:dyDescent="0.3">
      <c r="B3" s="86">
        <v>2</v>
      </c>
      <c r="C3" s="86" t="s">
        <v>279</v>
      </c>
      <c r="D3" s="86" t="s">
        <v>329</v>
      </c>
      <c r="E3" s="87"/>
      <c r="F3" s="88" t="s">
        <v>830</v>
      </c>
      <c r="G3" s="88" t="s">
        <v>420</v>
      </c>
      <c r="H3" s="88" t="s">
        <v>421</v>
      </c>
      <c r="I3" s="88" t="s">
        <v>501</v>
      </c>
      <c r="J3" s="89"/>
      <c r="K3" s="88" t="s">
        <v>645</v>
      </c>
      <c r="L3" s="88" t="s">
        <v>434</v>
      </c>
      <c r="M3" s="89"/>
      <c r="N3" s="89"/>
      <c r="O3" s="89"/>
      <c r="P3" s="89"/>
      <c r="Q3" s="89"/>
      <c r="R3" s="89"/>
      <c r="T3" s="28" t="s">
        <v>174</v>
      </c>
      <c r="U3" s="29" t="s">
        <v>45</v>
      </c>
      <c r="V3" s="29" t="s">
        <v>0</v>
      </c>
      <c r="W3" s="29" t="s">
        <v>275</v>
      </c>
      <c r="X3" s="30" t="s">
        <v>322</v>
      </c>
      <c r="Y3" s="85" t="s">
        <v>395</v>
      </c>
    </row>
    <row r="4" spans="2:25" ht="21" thickBot="1" x14ac:dyDescent="0.3">
      <c r="B4" s="86">
        <v>3</v>
      </c>
      <c r="C4" s="86" t="s">
        <v>37</v>
      </c>
      <c r="D4" s="86" t="s">
        <v>70</v>
      </c>
      <c r="E4" s="87"/>
      <c r="F4" s="88" t="s">
        <v>455</v>
      </c>
      <c r="G4" s="88" t="s">
        <v>422</v>
      </c>
      <c r="H4" s="88" t="s">
        <v>423</v>
      </c>
      <c r="I4" s="88" t="s">
        <v>501</v>
      </c>
      <c r="J4" s="89"/>
      <c r="K4" s="88" t="s">
        <v>646</v>
      </c>
      <c r="L4" s="88" t="s">
        <v>435</v>
      </c>
      <c r="M4" s="89"/>
      <c r="N4" s="89"/>
      <c r="O4" s="89"/>
      <c r="P4" s="89"/>
      <c r="Q4" s="89"/>
      <c r="R4" s="89"/>
      <c r="T4" s="133">
        <v>1</v>
      </c>
      <c r="U4" s="133" t="s">
        <v>323</v>
      </c>
      <c r="V4" s="133" t="s">
        <v>74</v>
      </c>
      <c r="W4" s="31" t="s">
        <v>324</v>
      </c>
      <c r="X4" s="32" t="s">
        <v>318</v>
      </c>
      <c r="Y4" s="32" t="s">
        <v>417</v>
      </c>
    </row>
    <row r="5" spans="2:25" ht="21" thickBot="1" x14ac:dyDescent="0.3">
      <c r="B5" s="86">
        <v>4</v>
      </c>
      <c r="C5" s="86" t="s">
        <v>33</v>
      </c>
      <c r="D5" s="86" t="s">
        <v>333</v>
      </c>
      <c r="E5" s="87"/>
      <c r="F5" s="88" t="s">
        <v>432</v>
      </c>
      <c r="G5" s="88" t="s">
        <v>424</v>
      </c>
      <c r="H5" s="88" t="s">
        <v>425</v>
      </c>
      <c r="I5" s="88" t="s">
        <v>501</v>
      </c>
      <c r="J5" s="89"/>
      <c r="K5" s="88" t="s">
        <v>647</v>
      </c>
      <c r="L5" s="88" t="s">
        <v>444</v>
      </c>
      <c r="M5" s="89"/>
      <c r="N5" s="89"/>
      <c r="O5" s="89"/>
      <c r="P5" s="89"/>
      <c r="Q5" s="89"/>
      <c r="R5" s="89"/>
      <c r="T5" s="134"/>
      <c r="U5" s="134"/>
      <c r="V5" s="134"/>
      <c r="W5" s="33" t="s">
        <v>325</v>
      </c>
      <c r="X5" s="34" t="s">
        <v>319</v>
      </c>
      <c r="Y5" s="32" t="s">
        <v>434</v>
      </c>
    </row>
    <row r="6" spans="2:25" ht="21" thickBot="1" x14ac:dyDescent="0.3">
      <c r="B6" s="86">
        <v>5</v>
      </c>
      <c r="C6" s="86" t="s">
        <v>34</v>
      </c>
      <c r="D6" s="86" t="s">
        <v>339</v>
      </c>
      <c r="E6" s="87"/>
      <c r="F6" s="88" t="s">
        <v>433</v>
      </c>
      <c r="G6" s="88" t="s">
        <v>427</v>
      </c>
      <c r="H6" s="88" t="s">
        <v>429</v>
      </c>
      <c r="I6" s="88" t="s">
        <v>502</v>
      </c>
      <c r="J6" s="89"/>
      <c r="K6" s="88" t="s">
        <v>648</v>
      </c>
      <c r="L6" s="88" t="s">
        <v>445</v>
      </c>
      <c r="M6" s="89"/>
      <c r="N6" s="89"/>
      <c r="O6" s="89"/>
      <c r="P6" s="89"/>
      <c r="Q6" s="89"/>
      <c r="R6" s="89"/>
      <c r="T6" s="135"/>
      <c r="U6" s="135"/>
      <c r="V6" s="135"/>
      <c r="W6" s="35" t="s">
        <v>326</v>
      </c>
      <c r="X6" s="36" t="s">
        <v>320</v>
      </c>
      <c r="Y6" s="32" t="s">
        <v>435</v>
      </c>
    </row>
    <row r="7" spans="2:25" ht="24" thickBot="1" x14ac:dyDescent="0.3">
      <c r="B7" s="86">
        <v>6</v>
      </c>
      <c r="C7" s="86" t="s">
        <v>373</v>
      </c>
      <c r="D7" s="86" t="s">
        <v>63</v>
      </c>
      <c r="E7" s="87"/>
      <c r="F7" s="88" t="s">
        <v>436</v>
      </c>
      <c r="G7" s="88" t="s">
        <v>428</v>
      </c>
      <c r="H7" s="88" t="s">
        <v>430</v>
      </c>
      <c r="I7" s="88" t="s">
        <v>503</v>
      </c>
      <c r="J7" s="89"/>
      <c r="K7" s="88" t="s">
        <v>649</v>
      </c>
      <c r="L7" s="88" t="s">
        <v>446</v>
      </c>
      <c r="M7" s="89"/>
      <c r="N7" s="89"/>
      <c r="O7" s="89"/>
      <c r="P7" s="89"/>
      <c r="Q7" s="89"/>
      <c r="R7" s="89"/>
      <c r="T7" s="139" t="s">
        <v>327</v>
      </c>
      <c r="U7" s="140"/>
      <c r="V7" s="140"/>
      <c r="W7" s="140"/>
      <c r="X7" s="141"/>
      <c r="Y7" s="32"/>
    </row>
    <row r="8" spans="2:25" ht="21" thickBot="1" x14ac:dyDescent="0.3">
      <c r="B8" s="86">
        <v>7</v>
      </c>
      <c r="C8" s="86" t="s">
        <v>374</v>
      </c>
      <c r="D8" s="86" t="s">
        <v>64</v>
      </c>
      <c r="E8" s="87"/>
      <c r="F8" s="88" t="s">
        <v>454</v>
      </c>
      <c r="G8" s="88" t="s">
        <v>438</v>
      </c>
      <c r="H8" s="88" t="s">
        <v>439</v>
      </c>
      <c r="I8" s="88" t="s">
        <v>501</v>
      </c>
      <c r="J8" s="89"/>
      <c r="K8" s="88" t="s">
        <v>650</v>
      </c>
      <c r="L8" s="88" t="s">
        <v>437</v>
      </c>
      <c r="M8" s="89"/>
      <c r="N8" s="89"/>
      <c r="O8" s="89"/>
      <c r="P8" s="89"/>
      <c r="Q8" s="89"/>
      <c r="R8" s="89"/>
      <c r="T8" s="133">
        <v>2</v>
      </c>
      <c r="U8" s="133" t="s">
        <v>328</v>
      </c>
      <c r="V8" s="133" t="s">
        <v>329</v>
      </c>
      <c r="W8" s="31" t="s">
        <v>324</v>
      </c>
      <c r="X8" s="32" t="s">
        <v>315</v>
      </c>
      <c r="Y8" s="32" t="s">
        <v>444</v>
      </c>
    </row>
    <row r="9" spans="2:25" ht="21" thickBot="1" x14ac:dyDescent="0.3">
      <c r="B9" s="86">
        <v>8</v>
      </c>
      <c r="C9" s="86" t="s">
        <v>376</v>
      </c>
      <c r="D9" s="86" t="s">
        <v>398</v>
      </c>
      <c r="E9" s="87"/>
      <c r="F9" s="88" t="s">
        <v>449</v>
      </c>
      <c r="G9" s="88" t="s">
        <v>440</v>
      </c>
      <c r="H9" s="88" t="s">
        <v>441</v>
      </c>
      <c r="I9" s="88" t="s">
        <v>502</v>
      </c>
      <c r="J9" s="89"/>
      <c r="K9" s="88" t="s">
        <v>651</v>
      </c>
      <c r="L9" s="88" t="s">
        <v>442</v>
      </c>
      <c r="M9" s="89"/>
      <c r="N9" s="89"/>
      <c r="O9" s="89"/>
      <c r="P9" s="89"/>
      <c r="Q9" s="89"/>
      <c r="R9" s="89"/>
      <c r="T9" s="134"/>
      <c r="U9" s="134"/>
      <c r="V9" s="134"/>
      <c r="W9" s="33" t="s">
        <v>325</v>
      </c>
      <c r="X9" s="34" t="s">
        <v>316</v>
      </c>
      <c r="Y9" s="32" t="s">
        <v>445</v>
      </c>
    </row>
    <row r="10" spans="2:25" ht="21" thickBot="1" x14ac:dyDescent="0.3">
      <c r="B10" s="86">
        <v>9</v>
      </c>
      <c r="C10" s="86" t="s">
        <v>377</v>
      </c>
      <c r="D10" s="86" t="s">
        <v>62</v>
      </c>
      <c r="E10" s="87"/>
      <c r="F10" s="88" t="s">
        <v>450</v>
      </c>
      <c r="G10" s="88" t="s">
        <v>447</v>
      </c>
      <c r="H10" s="88" t="s">
        <v>448</v>
      </c>
      <c r="I10" s="88" t="s">
        <v>502</v>
      </c>
      <c r="J10" s="89"/>
      <c r="K10" s="88" t="s">
        <v>652</v>
      </c>
      <c r="L10" s="88" t="s">
        <v>443</v>
      </c>
      <c r="M10" s="89"/>
      <c r="N10" s="89"/>
      <c r="O10" s="89"/>
      <c r="P10" s="89"/>
      <c r="Q10" s="89"/>
      <c r="R10" s="89"/>
      <c r="T10" s="135"/>
      <c r="U10" s="135"/>
      <c r="V10" s="135"/>
      <c r="W10" s="35" t="s">
        <v>326</v>
      </c>
      <c r="X10" s="36" t="s">
        <v>317</v>
      </c>
      <c r="Y10" s="32" t="s">
        <v>446</v>
      </c>
    </row>
    <row r="11" spans="2:25" ht="21" thickBot="1" x14ac:dyDescent="0.3">
      <c r="B11" s="86">
        <v>10</v>
      </c>
      <c r="C11" s="86" t="s">
        <v>378</v>
      </c>
      <c r="D11" s="86" t="s">
        <v>65</v>
      </c>
      <c r="E11" s="87"/>
      <c r="F11" s="88" t="s">
        <v>829</v>
      </c>
      <c r="G11" s="88" t="s">
        <v>451</v>
      </c>
      <c r="H11" s="88" t="s">
        <v>452</v>
      </c>
      <c r="I11" s="88" t="s">
        <v>501</v>
      </c>
      <c r="J11" s="89"/>
      <c r="K11" s="88" t="s">
        <v>653</v>
      </c>
      <c r="L11" s="88" t="s">
        <v>456</v>
      </c>
      <c r="M11" s="89"/>
      <c r="N11" s="89"/>
      <c r="O11" s="89"/>
      <c r="P11" s="89"/>
      <c r="Q11" s="89"/>
      <c r="R11" s="89"/>
      <c r="T11" s="37"/>
      <c r="U11" s="38"/>
      <c r="V11" s="38"/>
      <c r="W11" s="38"/>
      <c r="X11" s="39"/>
      <c r="Y11" s="32"/>
    </row>
    <row r="12" spans="2:25" ht="21" thickBot="1" x14ac:dyDescent="0.3">
      <c r="B12" s="86">
        <v>11</v>
      </c>
      <c r="C12" s="86" t="s">
        <v>379</v>
      </c>
      <c r="D12" s="86" t="s">
        <v>68</v>
      </c>
      <c r="E12" s="87"/>
      <c r="F12" s="88" t="s">
        <v>461</v>
      </c>
      <c r="G12" s="88" t="s">
        <v>459</v>
      </c>
      <c r="H12" s="88" t="s">
        <v>460</v>
      </c>
      <c r="I12" s="88" t="s">
        <v>502</v>
      </c>
      <c r="J12" s="89"/>
      <c r="K12" s="88" t="s">
        <v>654</v>
      </c>
      <c r="L12" s="88" t="s">
        <v>457</v>
      </c>
      <c r="M12" s="89"/>
      <c r="N12" s="89"/>
      <c r="O12" s="89"/>
      <c r="P12" s="89"/>
      <c r="Q12" s="89"/>
      <c r="R12" s="89"/>
      <c r="T12" s="133">
        <v>3</v>
      </c>
      <c r="U12" s="142" t="s">
        <v>330</v>
      </c>
      <c r="V12" s="133" t="s">
        <v>70</v>
      </c>
      <c r="W12" s="31" t="s">
        <v>324</v>
      </c>
      <c r="X12" s="32" t="s">
        <v>312</v>
      </c>
      <c r="Y12" s="32" t="s">
        <v>437</v>
      </c>
    </row>
    <row r="13" spans="2:25" ht="21" thickBot="1" x14ac:dyDescent="0.3">
      <c r="B13" s="86">
        <v>12</v>
      </c>
      <c r="C13" s="86" t="s">
        <v>278</v>
      </c>
      <c r="D13" s="86" t="s">
        <v>69</v>
      </c>
      <c r="E13" s="87"/>
      <c r="F13" s="88" t="s">
        <v>467</v>
      </c>
      <c r="G13" s="88" t="s">
        <v>465</v>
      </c>
      <c r="H13" s="88" t="s">
        <v>466</v>
      </c>
      <c r="I13" s="88" t="s">
        <v>502</v>
      </c>
      <c r="J13" s="89"/>
      <c r="K13" s="88" t="s">
        <v>655</v>
      </c>
      <c r="L13" s="88" t="s">
        <v>458</v>
      </c>
      <c r="M13" s="89"/>
      <c r="N13" s="89"/>
      <c r="O13" s="89"/>
      <c r="P13" s="89"/>
      <c r="Q13" s="89"/>
      <c r="R13" s="89"/>
      <c r="T13" s="134"/>
      <c r="U13" s="143"/>
      <c r="V13" s="134"/>
      <c r="W13" s="33" t="s">
        <v>325</v>
      </c>
      <c r="X13" s="34" t="s">
        <v>313</v>
      </c>
      <c r="Y13" s="32" t="s">
        <v>442</v>
      </c>
    </row>
    <row r="14" spans="2:25" ht="21" thickBot="1" x14ac:dyDescent="0.3">
      <c r="B14" s="86">
        <v>13</v>
      </c>
      <c r="C14" s="86" t="s">
        <v>380</v>
      </c>
      <c r="D14" s="86" t="s">
        <v>66</v>
      </c>
      <c r="E14" s="87"/>
      <c r="F14" s="88" t="s">
        <v>821</v>
      </c>
      <c r="G14" s="88" t="s">
        <v>468</v>
      </c>
      <c r="H14" s="88" t="s">
        <v>469</v>
      </c>
      <c r="I14" s="88" t="s">
        <v>501</v>
      </c>
      <c r="J14" s="89"/>
      <c r="K14" s="88" t="s">
        <v>656</v>
      </c>
      <c r="L14" s="88" t="s">
        <v>462</v>
      </c>
      <c r="M14" s="89"/>
      <c r="N14" s="89"/>
      <c r="O14" s="89"/>
      <c r="P14" s="89"/>
      <c r="Q14" s="89"/>
      <c r="R14" s="89"/>
      <c r="T14" s="135"/>
      <c r="U14" s="144"/>
      <c r="V14" s="135"/>
      <c r="W14" s="35" t="s">
        <v>326</v>
      </c>
      <c r="X14" s="36" t="s">
        <v>314</v>
      </c>
      <c r="Y14" s="32" t="s">
        <v>443</v>
      </c>
    </row>
    <row r="15" spans="2:25" ht="24" thickBot="1" x14ac:dyDescent="0.3">
      <c r="B15" s="86">
        <v>14</v>
      </c>
      <c r="C15" s="86" t="s">
        <v>381</v>
      </c>
      <c r="D15" s="86" t="s">
        <v>67</v>
      </c>
      <c r="E15" s="87"/>
      <c r="F15" s="88" t="s">
        <v>478</v>
      </c>
      <c r="G15" s="88" t="s">
        <v>459</v>
      </c>
      <c r="H15" s="88" t="s">
        <v>460</v>
      </c>
      <c r="I15" s="88" t="s">
        <v>502</v>
      </c>
      <c r="J15" s="89"/>
      <c r="K15" s="88" t="s">
        <v>657</v>
      </c>
      <c r="L15" s="88" t="s">
        <v>463</v>
      </c>
      <c r="M15" s="89"/>
      <c r="N15" s="89"/>
      <c r="O15" s="89"/>
      <c r="P15" s="89"/>
      <c r="Q15" s="89"/>
      <c r="R15" s="89"/>
      <c r="T15" s="139" t="s">
        <v>331</v>
      </c>
      <c r="U15" s="140"/>
      <c r="V15" s="140"/>
      <c r="W15" s="140"/>
      <c r="X15" s="141"/>
      <c r="Y15" s="32"/>
    </row>
    <row r="16" spans="2:25" ht="21" thickBot="1" x14ac:dyDescent="0.3">
      <c r="B16" s="86">
        <v>15</v>
      </c>
      <c r="C16" s="86" t="s">
        <v>393</v>
      </c>
      <c r="D16" s="86" t="s">
        <v>60</v>
      </c>
      <c r="E16" s="87"/>
      <c r="F16" s="88" t="s">
        <v>479</v>
      </c>
      <c r="G16" s="88" t="s">
        <v>476</v>
      </c>
      <c r="H16" s="88" t="s">
        <v>477</v>
      </c>
      <c r="I16" s="88" t="s">
        <v>503</v>
      </c>
      <c r="J16" s="89"/>
      <c r="K16" s="88" t="s">
        <v>658</v>
      </c>
      <c r="L16" s="88" t="s">
        <v>464</v>
      </c>
      <c r="M16" s="89"/>
      <c r="N16" s="89"/>
      <c r="O16" s="89"/>
      <c r="P16" s="89"/>
      <c r="Q16" s="89"/>
      <c r="R16" s="89"/>
      <c r="T16" s="133">
        <v>4</v>
      </c>
      <c r="U16" s="133" t="s">
        <v>332</v>
      </c>
      <c r="V16" s="133" t="s">
        <v>333</v>
      </c>
      <c r="W16" s="31" t="s">
        <v>325</v>
      </c>
      <c r="X16" s="32" t="s">
        <v>334</v>
      </c>
      <c r="Y16" s="32" t="s">
        <v>456</v>
      </c>
    </row>
    <row r="17" spans="2:25" ht="21" thickBot="1" x14ac:dyDescent="0.3">
      <c r="B17" s="86">
        <v>16</v>
      </c>
      <c r="C17" s="86" t="s">
        <v>582</v>
      </c>
      <c r="D17" s="86" t="s">
        <v>71</v>
      </c>
      <c r="E17" s="87"/>
      <c r="F17" s="88" t="s">
        <v>482</v>
      </c>
      <c r="G17" s="88" t="s">
        <v>480</v>
      </c>
      <c r="H17" s="88" t="s">
        <v>481</v>
      </c>
      <c r="I17" s="88" t="s">
        <v>502</v>
      </c>
      <c r="J17" s="89"/>
      <c r="K17" s="88" t="s">
        <v>659</v>
      </c>
      <c r="L17" s="88" t="s">
        <v>474</v>
      </c>
      <c r="M17" s="89"/>
      <c r="N17" s="89"/>
      <c r="O17" s="89"/>
      <c r="P17" s="89"/>
      <c r="Q17" s="89"/>
      <c r="R17" s="89"/>
      <c r="T17" s="134"/>
      <c r="U17" s="134"/>
      <c r="V17" s="134"/>
      <c r="W17" s="33" t="s">
        <v>326</v>
      </c>
      <c r="X17" s="32" t="s">
        <v>335</v>
      </c>
      <c r="Y17" s="32" t="s">
        <v>457</v>
      </c>
    </row>
    <row r="18" spans="2:25" ht="21" thickBot="1" x14ac:dyDescent="0.3">
      <c r="B18" s="86">
        <v>17</v>
      </c>
      <c r="C18" s="86" t="s">
        <v>587</v>
      </c>
      <c r="D18" s="86" t="s">
        <v>71</v>
      </c>
      <c r="E18" s="87"/>
      <c r="F18" s="88" t="s">
        <v>485</v>
      </c>
      <c r="G18" s="88" t="s">
        <v>483</v>
      </c>
      <c r="H18" s="88" t="s">
        <v>484</v>
      </c>
      <c r="I18" s="88" t="s">
        <v>501</v>
      </c>
      <c r="J18" s="89"/>
      <c r="K18" s="88" t="s">
        <v>660</v>
      </c>
      <c r="L18" s="88" t="s">
        <v>471</v>
      </c>
      <c r="M18" s="89"/>
      <c r="N18" s="89"/>
      <c r="O18" s="89"/>
      <c r="P18" s="89"/>
      <c r="Q18" s="89"/>
      <c r="R18" s="89"/>
      <c r="T18" s="135"/>
      <c r="U18" s="135"/>
      <c r="V18" s="135"/>
      <c r="W18" s="35" t="s">
        <v>336</v>
      </c>
      <c r="X18" s="32" t="s">
        <v>337</v>
      </c>
      <c r="Y18" s="32" t="s">
        <v>458</v>
      </c>
    </row>
    <row r="19" spans="2:25" ht="21" thickBot="1" x14ac:dyDescent="0.3">
      <c r="B19" s="86">
        <v>18</v>
      </c>
      <c r="C19" s="86" t="s">
        <v>879</v>
      </c>
      <c r="D19" s="86" t="s">
        <v>870</v>
      </c>
      <c r="E19" s="87"/>
      <c r="F19" s="88" t="s">
        <v>489</v>
      </c>
      <c r="G19" s="88" t="s">
        <v>487</v>
      </c>
      <c r="H19" s="88" t="s">
        <v>488</v>
      </c>
      <c r="I19" s="88" t="s">
        <v>503</v>
      </c>
      <c r="J19" s="89"/>
      <c r="K19" s="88" t="s">
        <v>661</v>
      </c>
      <c r="L19" s="88" t="s">
        <v>475</v>
      </c>
      <c r="M19" s="89"/>
      <c r="N19" s="89"/>
      <c r="O19" s="89"/>
      <c r="P19" s="89"/>
      <c r="Q19" s="89"/>
      <c r="R19" s="89"/>
      <c r="T19" s="37"/>
      <c r="U19" s="38"/>
      <c r="V19" s="38"/>
      <c r="W19" s="38"/>
      <c r="X19" s="32"/>
      <c r="Y19" s="32"/>
    </row>
    <row r="20" spans="2:25" ht="21" thickBot="1" x14ac:dyDescent="0.3">
      <c r="B20" s="86">
        <v>19</v>
      </c>
      <c r="C20" s="86" t="s">
        <v>880</v>
      </c>
      <c r="D20" s="86" t="s">
        <v>878</v>
      </c>
      <c r="E20" s="87"/>
      <c r="F20" s="88" t="s">
        <v>494</v>
      </c>
      <c r="G20" s="88" t="s">
        <v>492</v>
      </c>
      <c r="H20" s="88" t="s">
        <v>493</v>
      </c>
      <c r="I20" s="88" t="s">
        <v>503</v>
      </c>
      <c r="J20" s="89"/>
      <c r="K20" s="88" t="s">
        <v>662</v>
      </c>
      <c r="L20" s="88" t="s">
        <v>472</v>
      </c>
      <c r="M20" s="89"/>
      <c r="N20" s="89"/>
      <c r="O20" s="89"/>
      <c r="P20" s="89"/>
      <c r="Q20" s="89"/>
      <c r="R20" s="89"/>
      <c r="T20" s="133">
        <v>5</v>
      </c>
      <c r="U20" s="133" t="s">
        <v>338</v>
      </c>
      <c r="V20" s="133" t="s">
        <v>339</v>
      </c>
      <c r="W20" s="29" t="s">
        <v>325</v>
      </c>
      <c r="X20" s="30" t="s">
        <v>340</v>
      </c>
      <c r="Y20" s="32" t="s">
        <v>462</v>
      </c>
    </row>
    <row r="21" spans="2:25" ht="21" thickBot="1" x14ac:dyDescent="0.3">
      <c r="B21" s="86">
        <v>20</v>
      </c>
      <c r="C21" s="86" t="s">
        <v>904</v>
      </c>
      <c r="D21" s="86" t="s">
        <v>897</v>
      </c>
      <c r="E21" s="87"/>
      <c r="F21" s="88" t="s">
        <v>506</v>
      </c>
      <c r="G21" s="88" t="s">
        <v>504</v>
      </c>
      <c r="H21" s="88" t="s">
        <v>505</v>
      </c>
      <c r="I21" s="88" t="s">
        <v>502</v>
      </c>
      <c r="J21" s="89"/>
      <c r="K21" s="88" t="s">
        <v>663</v>
      </c>
      <c r="L21" s="88" t="s">
        <v>471</v>
      </c>
      <c r="M21" s="89"/>
      <c r="N21" s="89"/>
      <c r="O21" s="89"/>
      <c r="P21" s="89"/>
      <c r="Q21" s="89"/>
      <c r="R21" s="89"/>
      <c r="T21" s="134"/>
      <c r="U21" s="134"/>
      <c r="V21" s="134"/>
      <c r="W21" s="40" t="s">
        <v>326</v>
      </c>
      <c r="X21" s="41" t="s">
        <v>341</v>
      </c>
      <c r="Y21" s="32" t="s">
        <v>463</v>
      </c>
    </row>
    <row r="22" spans="2:25" ht="21" thickBot="1" x14ac:dyDescent="0.3">
      <c r="B22" s="86">
        <v>21</v>
      </c>
      <c r="C22" s="86" t="s">
        <v>921</v>
      </c>
      <c r="D22" s="86" t="s">
        <v>911</v>
      </c>
      <c r="E22" s="87"/>
      <c r="F22" s="88" t="s">
        <v>510</v>
      </c>
      <c r="G22" s="88" t="s">
        <v>507</v>
      </c>
      <c r="H22" s="88" t="s">
        <v>508</v>
      </c>
      <c r="I22" s="88" t="s">
        <v>509</v>
      </c>
      <c r="J22" s="89"/>
      <c r="K22" s="88" t="s">
        <v>664</v>
      </c>
      <c r="L22" s="88" t="s">
        <v>473</v>
      </c>
      <c r="M22" s="89"/>
      <c r="N22" s="89"/>
      <c r="O22" s="89"/>
      <c r="P22" s="89"/>
      <c r="Q22" s="89"/>
      <c r="R22" s="89"/>
      <c r="T22" s="135"/>
      <c r="U22" s="135"/>
      <c r="V22" s="135"/>
      <c r="W22" s="42" t="s">
        <v>336</v>
      </c>
      <c r="X22" s="43" t="s">
        <v>342</v>
      </c>
      <c r="Y22" s="32" t="s">
        <v>464</v>
      </c>
    </row>
    <row r="23" spans="2:25" ht="24" thickBot="1" x14ac:dyDescent="0.3">
      <c r="B23" s="86">
        <v>22</v>
      </c>
      <c r="C23" s="86" t="s">
        <v>922</v>
      </c>
      <c r="D23" s="86" t="s">
        <v>920</v>
      </c>
      <c r="E23" s="87"/>
      <c r="F23" s="88" t="s">
        <v>378</v>
      </c>
      <c r="G23" s="88" t="s">
        <v>465</v>
      </c>
      <c r="H23" s="88" t="s">
        <v>466</v>
      </c>
      <c r="I23" s="88" t="s">
        <v>502</v>
      </c>
      <c r="J23" s="89"/>
      <c r="K23" s="88" t="s">
        <v>665</v>
      </c>
      <c r="L23" s="88" t="s">
        <v>486</v>
      </c>
      <c r="M23" s="89"/>
      <c r="N23" s="89"/>
      <c r="O23" s="89"/>
      <c r="P23" s="89"/>
      <c r="Q23" s="89"/>
      <c r="R23" s="89"/>
      <c r="T23" s="139" t="s">
        <v>343</v>
      </c>
      <c r="U23" s="140"/>
      <c r="V23" s="140"/>
      <c r="W23" s="140"/>
      <c r="X23" s="141"/>
      <c r="Y23" s="32"/>
    </row>
    <row r="24" spans="2:25" ht="21" thickBot="1" x14ac:dyDescent="0.3">
      <c r="B24" s="86"/>
      <c r="C24" s="86"/>
      <c r="D24" s="86"/>
      <c r="E24" s="87"/>
      <c r="F24" s="88" t="s">
        <v>823</v>
      </c>
      <c r="G24" s="88" t="s">
        <v>511</v>
      </c>
      <c r="H24" s="88" t="s">
        <v>512</v>
      </c>
      <c r="I24" s="88" t="s">
        <v>501</v>
      </c>
      <c r="J24" s="89"/>
      <c r="K24" s="88" t="s">
        <v>666</v>
      </c>
      <c r="L24" s="88" t="s">
        <v>490</v>
      </c>
      <c r="M24" s="89"/>
      <c r="N24" s="89"/>
      <c r="O24" s="89"/>
      <c r="P24" s="89"/>
      <c r="Q24" s="89"/>
      <c r="R24" s="89"/>
      <c r="T24" s="133">
        <v>6</v>
      </c>
      <c r="U24" s="133" t="s">
        <v>344</v>
      </c>
      <c r="V24" s="133" t="s">
        <v>63</v>
      </c>
      <c r="W24" s="31" t="s">
        <v>325</v>
      </c>
      <c r="X24" s="32" t="s">
        <v>293</v>
      </c>
      <c r="Y24" s="32" t="s">
        <v>474</v>
      </c>
    </row>
    <row r="25" spans="2:25" ht="21" thickBot="1" x14ac:dyDescent="0.3">
      <c r="B25" s="86"/>
      <c r="C25" s="86" t="s">
        <v>17</v>
      </c>
      <c r="D25" s="86" t="s">
        <v>47</v>
      </c>
      <c r="F25" s="88" t="s">
        <v>522</v>
      </c>
      <c r="G25" s="88" t="s">
        <v>520</v>
      </c>
      <c r="H25" s="88" t="s">
        <v>521</v>
      </c>
      <c r="I25" s="88" t="s">
        <v>502</v>
      </c>
      <c r="J25" s="89"/>
      <c r="K25" s="88" t="s">
        <v>667</v>
      </c>
      <c r="L25" s="88" t="s">
        <v>491</v>
      </c>
      <c r="M25" s="89"/>
      <c r="N25" s="89"/>
      <c r="O25" s="89"/>
      <c r="P25" s="89"/>
      <c r="Q25" s="89"/>
      <c r="R25" s="89"/>
      <c r="T25" s="134"/>
      <c r="U25" s="134"/>
      <c r="V25" s="134"/>
      <c r="W25" s="33" t="s">
        <v>326</v>
      </c>
      <c r="X25" s="32" t="s">
        <v>294</v>
      </c>
      <c r="Y25" s="32" t="s">
        <v>471</v>
      </c>
    </row>
    <row r="26" spans="2:25" ht="21" thickBot="1" x14ac:dyDescent="0.3">
      <c r="B26" s="86">
        <v>1</v>
      </c>
      <c r="C26" s="86" t="s">
        <v>373</v>
      </c>
      <c r="D26" s="86" t="s">
        <v>368</v>
      </c>
      <c r="F26" s="88" t="s">
        <v>525</v>
      </c>
      <c r="G26" s="88" t="s">
        <v>523</v>
      </c>
      <c r="H26" s="88" t="s">
        <v>524</v>
      </c>
      <c r="I26" s="88" t="s">
        <v>501</v>
      </c>
      <c r="J26" s="89"/>
      <c r="K26" s="88" t="s">
        <v>666</v>
      </c>
      <c r="L26" s="88" t="s">
        <v>490</v>
      </c>
      <c r="M26" s="89"/>
      <c r="N26" s="89"/>
      <c r="O26" s="89"/>
      <c r="P26" s="89"/>
      <c r="Q26" s="89"/>
      <c r="R26" s="89"/>
      <c r="T26" s="135"/>
      <c r="U26" s="135"/>
      <c r="V26" s="135"/>
      <c r="W26" s="35" t="s">
        <v>336</v>
      </c>
      <c r="X26" s="32" t="s">
        <v>295</v>
      </c>
      <c r="Y26" s="32" t="s">
        <v>475</v>
      </c>
    </row>
    <row r="27" spans="2:25" ht="21" thickBot="1" x14ac:dyDescent="0.3">
      <c r="B27" s="86">
        <v>2</v>
      </c>
      <c r="C27" s="86" t="s">
        <v>374</v>
      </c>
      <c r="D27" s="86" t="s">
        <v>369</v>
      </c>
      <c r="F27" s="88" t="s">
        <v>542</v>
      </c>
      <c r="G27" s="88" t="s">
        <v>540</v>
      </c>
      <c r="H27" s="88" t="s">
        <v>541</v>
      </c>
      <c r="I27" s="88" t="s">
        <v>502</v>
      </c>
      <c r="J27" s="89"/>
      <c r="K27" s="88" t="s">
        <v>659</v>
      </c>
      <c r="L27" s="88" t="s">
        <v>474</v>
      </c>
      <c r="M27" s="89"/>
      <c r="N27" s="89"/>
      <c r="O27" s="89"/>
      <c r="P27" s="89"/>
      <c r="Q27" s="89"/>
      <c r="R27" s="89"/>
      <c r="T27" s="37"/>
      <c r="U27" s="38"/>
      <c r="V27" s="38"/>
      <c r="W27" s="38"/>
      <c r="X27" s="32"/>
      <c r="Y27" s="32"/>
    </row>
    <row r="28" spans="2:25" ht="21" thickBot="1" x14ac:dyDescent="0.3">
      <c r="B28" s="86">
        <v>3</v>
      </c>
      <c r="C28" s="86" t="s">
        <v>378</v>
      </c>
      <c r="D28" s="86" t="s">
        <v>370</v>
      </c>
      <c r="F28" s="88" t="s">
        <v>545</v>
      </c>
      <c r="G28" s="88" t="s">
        <v>543</v>
      </c>
      <c r="H28" s="88" t="s">
        <v>544</v>
      </c>
      <c r="I28" s="88" t="s">
        <v>501</v>
      </c>
      <c r="J28" s="89"/>
      <c r="K28" s="88" t="s">
        <v>668</v>
      </c>
      <c r="L28" s="88" t="s">
        <v>495</v>
      </c>
      <c r="M28" s="89"/>
      <c r="N28" s="89"/>
      <c r="O28" s="89"/>
      <c r="P28" s="89"/>
      <c r="Q28" s="89"/>
      <c r="R28" s="89"/>
      <c r="T28" s="133">
        <v>7</v>
      </c>
      <c r="U28" s="133" t="s">
        <v>345</v>
      </c>
      <c r="V28" s="133" t="s">
        <v>64</v>
      </c>
      <c r="W28" s="31" t="s">
        <v>325</v>
      </c>
      <c r="X28" s="32" t="s">
        <v>306</v>
      </c>
      <c r="Y28" s="32" t="s">
        <v>472</v>
      </c>
    </row>
    <row r="29" spans="2:25" ht="21" thickBot="1" x14ac:dyDescent="0.3">
      <c r="B29" s="86">
        <v>4</v>
      </c>
      <c r="C29" s="86" t="s">
        <v>379</v>
      </c>
      <c r="D29" s="86" t="s">
        <v>371</v>
      </c>
      <c r="F29" s="88" t="s">
        <v>825</v>
      </c>
      <c r="G29" s="88" t="s">
        <v>534</v>
      </c>
      <c r="H29" s="88" t="s">
        <v>535</v>
      </c>
      <c r="I29" s="88" t="s">
        <v>501</v>
      </c>
      <c r="J29" s="89"/>
      <c r="K29" s="88" t="s">
        <v>670</v>
      </c>
      <c r="L29" s="88" t="s">
        <v>496</v>
      </c>
      <c r="M29" s="89"/>
      <c r="N29" s="89"/>
      <c r="O29" s="89"/>
      <c r="P29" s="89"/>
      <c r="Q29" s="89"/>
      <c r="R29" s="89"/>
      <c r="T29" s="134"/>
      <c r="U29" s="134"/>
      <c r="V29" s="134"/>
      <c r="W29" s="33" t="s">
        <v>326</v>
      </c>
      <c r="X29" s="32" t="s">
        <v>307</v>
      </c>
      <c r="Y29" s="32" t="s">
        <v>471</v>
      </c>
    </row>
    <row r="30" spans="2:25" ht="21" thickBot="1" x14ac:dyDescent="0.3">
      <c r="B30" s="86">
        <v>5</v>
      </c>
      <c r="C30" s="86" t="s">
        <v>278</v>
      </c>
      <c r="D30" s="86" t="s">
        <v>372</v>
      </c>
      <c r="F30" s="88" t="s">
        <v>552</v>
      </c>
      <c r="G30" s="88" t="s">
        <v>550</v>
      </c>
      <c r="H30" s="88" t="s">
        <v>551</v>
      </c>
      <c r="I30" s="88" t="s">
        <v>502</v>
      </c>
      <c r="J30" s="89"/>
      <c r="K30" s="88" t="s">
        <v>672</v>
      </c>
      <c r="L30" s="88" t="s">
        <v>497</v>
      </c>
      <c r="M30" s="89"/>
      <c r="N30" s="89"/>
      <c r="O30" s="89"/>
      <c r="P30" s="89"/>
      <c r="Q30" s="89"/>
      <c r="R30" s="89"/>
      <c r="T30" s="135"/>
      <c r="U30" s="135"/>
      <c r="V30" s="135"/>
      <c r="W30" s="35" t="s">
        <v>336</v>
      </c>
      <c r="X30" s="32" t="s">
        <v>308</v>
      </c>
      <c r="Y30" s="32" t="s">
        <v>473</v>
      </c>
    </row>
    <row r="31" spans="2:25" ht="24" thickBot="1" x14ac:dyDescent="0.3">
      <c r="F31" s="88" t="s">
        <v>555</v>
      </c>
      <c r="G31" s="88" t="s">
        <v>553</v>
      </c>
      <c r="H31" s="88" t="s">
        <v>554</v>
      </c>
      <c r="I31" s="88" t="s">
        <v>501</v>
      </c>
      <c r="J31" s="89"/>
      <c r="K31" s="88" t="s">
        <v>671</v>
      </c>
      <c r="L31" s="88" t="s">
        <v>498</v>
      </c>
      <c r="M31" s="89"/>
      <c r="N31" s="89"/>
      <c r="O31" s="89"/>
      <c r="P31" s="89"/>
      <c r="Q31" s="89"/>
      <c r="R31" s="89"/>
      <c r="T31" s="139" t="s">
        <v>346</v>
      </c>
      <c r="U31" s="140"/>
      <c r="V31" s="140"/>
      <c r="W31" s="140"/>
      <c r="X31" s="141"/>
      <c r="Y31" s="32"/>
    </row>
    <row r="32" spans="2:25" ht="21" thickBot="1" x14ac:dyDescent="0.3">
      <c r="F32" s="88" t="s">
        <v>558</v>
      </c>
      <c r="G32" s="88" t="s">
        <v>556</v>
      </c>
      <c r="H32" s="88" t="s">
        <v>557</v>
      </c>
      <c r="I32" s="88" t="s">
        <v>502</v>
      </c>
      <c r="J32" s="89"/>
      <c r="K32" s="88" t="s">
        <v>672</v>
      </c>
      <c r="L32" s="88" t="s">
        <v>497</v>
      </c>
      <c r="M32" s="89"/>
      <c r="N32" s="89"/>
      <c r="O32" s="89"/>
      <c r="P32" s="89"/>
      <c r="Q32" s="89"/>
      <c r="R32" s="89"/>
      <c r="T32" s="145">
        <v>8</v>
      </c>
      <c r="U32" s="148" t="s">
        <v>344</v>
      </c>
      <c r="V32" s="151" t="s">
        <v>347</v>
      </c>
      <c r="W32" s="148" t="s">
        <v>325</v>
      </c>
      <c r="X32" s="44" t="s">
        <v>296</v>
      </c>
      <c r="Y32" s="32" t="s">
        <v>486</v>
      </c>
    </row>
    <row r="33" spans="6:25" ht="21" thickBot="1" x14ac:dyDescent="0.3">
      <c r="F33" s="88" t="s">
        <v>565</v>
      </c>
      <c r="G33" s="88" t="s">
        <v>559</v>
      </c>
      <c r="H33" s="88" t="s">
        <v>560</v>
      </c>
      <c r="I33" s="88" t="s">
        <v>502</v>
      </c>
      <c r="J33" s="89"/>
      <c r="K33" s="88" t="s">
        <v>662</v>
      </c>
      <c r="L33" s="88" t="s">
        <v>472</v>
      </c>
      <c r="M33" s="89"/>
      <c r="N33" s="89"/>
      <c r="O33" s="89"/>
      <c r="P33" s="89"/>
      <c r="Q33" s="89"/>
      <c r="R33" s="89"/>
      <c r="T33" s="146"/>
      <c r="U33" s="149"/>
      <c r="V33" s="152"/>
      <c r="W33" s="154"/>
      <c r="X33" s="45" t="s">
        <v>348</v>
      </c>
      <c r="Y33" s="32" t="s">
        <v>490</v>
      </c>
    </row>
    <row r="34" spans="6:25" ht="21" thickBot="1" x14ac:dyDescent="0.3">
      <c r="F34" s="88" t="s">
        <v>566</v>
      </c>
      <c r="G34" s="88" t="s">
        <v>561</v>
      </c>
      <c r="H34" s="88" t="s">
        <v>562</v>
      </c>
      <c r="I34" s="88" t="s">
        <v>501</v>
      </c>
      <c r="J34" s="89"/>
      <c r="K34" s="88" t="s">
        <v>669</v>
      </c>
      <c r="L34" s="88" t="s">
        <v>499</v>
      </c>
      <c r="M34" s="89"/>
      <c r="N34" s="89"/>
      <c r="O34" s="89"/>
      <c r="P34" s="89"/>
      <c r="Q34" s="89"/>
      <c r="R34" s="89"/>
      <c r="T34" s="146"/>
      <c r="U34" s="149"/>
      <c r="V34" s="152"/>
      <c r="W34" s="155" t="s">
        <v>326</v>
      </c>
      <c r="X34" s="45" t="s">
        <v>297</v>
      </c>
      <c r="Y34" s="32" t="s">
        <v>491</v>
      </c>
    </row>
    <row r="35" spans="6:25" ht="21" thickBot="1" x14ac:dyDescent="0.3">
      <c r="F35" s="88" t="s">
        <v>567</v>
      </c>
      <c r="G35" s="88" t="s">
        <v>563</v>
      </c>
      <c r="H35" s="88" t="s">
        <v>564</v>
      </c>
      <c r="I35" s="88" t="s">
        <v>503</v>
      </c>
      <c r="J35" s="89"/>
      <c r="K35" s="88" t="s">
        <v>673</v>
      </c>
      <c r="L35" s="88" t="s">
        <v>514</v>
      </c>
      <c r="M35" s="89"/>
      <c r="N35" s="89"/>
      <c r="O35" s="89"/>
      <c r="P35" s="89"/>
      <c r="Q35" s="89"/>
      <c r="R35" s="89"/>
      <c r="T35" s="146"/>
      <c r="U35" s="149"/>
      <c r="V35" s="152"/>
      <c r="W35" s="154"/>
      <c r="X35" s="45" t="s">
        <v>348</v>
      </c>
      <c r="Y35" s="32" t="s">
        <v>490</v>
      </c>
    </row>
    <row r="36" spans="6:25" ht="21" thickBot="1" x14ac:dyDescent="0.3">
      <c r="F36" s="88" t="s">
        <v>570</v>
      </c>
      <c r="G36" s="88" t="s">
        <v>568</v>
      </c>
      <c r="H36" s="88" t="s">
        <v>569</v>
      </c>
      <c r="I36" s="88" t="s">
        <v>502</v>
      </c>
      <c r="J36" s="89"/>
      <c r="K36" s="88" t="s">
        <v>674</v>
      </c>
      <c r="L36" s="88" t="s">
        <v>515</v>
      </c>
      <c r="M36" s="89"/>
      <c r="N36" s="89"/>
      <c r="O36" s="89"/>
      <c r="P36" s="89"/>
      <c r="Q36" s="89"/>
      <c r="R36" s="89"/>
      <c r="T36" s="146"/>
      <c r="U36" s="149"/>
      <c r="V36" s="152"/>
      <c r="W36" s="155" t="s">
        <v>336</v>
      </c>
      <c r="X36" s="45" t="s">
        <v>298</v>
      </c>
      <c r="Y36" s="32" t="s">
        <v>474</v>
      </c>
    </row>
    <row r="37" spans="6:25" ht="21" thickBot="1" x14ac:dyDescent="0.3">
      <c r="F37" s="88" t="s">
        <v>576</v>
      </c>
      <c r="G37" s="88" t="s">
        <v>574</v>
      </c>
      <c r="H37" s="88" t="s">
        <v>575</v>
      </c>
      <c r="I37" s="88" t="s">
        <v>502</v>
      </c>
      <c r="J37" s="89"/>
      <c r="K37" s="88" t="s">
        <v>675</v>
      </c>
      <c r="L37" s="88" t="s">
        <v>516</v>
      </c>
      <c r="M37" s="89"/>
      <c r="N37" s="89"/>
      <c r="O37" s="89"/>
      <c r="P37" s="89"/>
      <c r="Q37" s="89"/>
      <c r="R37" s="89"/>
      <c r="T37" s="147"/>
      <c r="U37" s="150"/>
      <c r="V37" s="153"/>
      <c r="W37" s="150"/>
      <c r="X37" s="46" t="s">
        <v>349</v>
      </c>
      <c r="Y37" s="32" t="s">
        <v>495</v>
      </c>
    </row>
    <row r="38" spans="6:25" ht="21" thickBot="1" x14ac:dyDescent="0.3">
      <c r="F38" s="88" t="s">
        <v>590</v>
      </c>
      <c r="G38" s="88" t="s">
        <v>588</v>
      </c>
      <c r="H38" s="88" t="s">
        <v>589</v>
      </c>
      <c r="I38" s="88" t="s">
        <v>501</v>
      </c>
      <c r="J38" s="89"/>
      <c r="K38" s="88" t="s">
        <v>676</v>
      </c>
      <c r="L38" s="88" t="s">
        <v>517</v>
      </c>
      <c r="M38" s="89"/>
      <c r="N38" s="89"/>
      <c r="O38" s="89"/>
      <c r="P38" s="89"/>
      <c r="Q38" s="89"/>
      <c r="R38" s="89"/>
      <c r="T38" s="145">
        <v>9</v>
      </c>
      <c r="U38" s="148" t="s">
        <v>345</v>
      </c>
      <c r="V38" s="151" t="s">
        <v>350</v>
      </c>
      <c r="W38" s="148" t="s">
        <v>325</v>
      </c>
      <c r="X38" s="44" t="s">
        <v>309</v>
      </c>
      <c r="Y38" s="32" t="s">
        <v>496</v>
      </c>
    </row>
    <row r="39" spans="6:25" ht="21" thickBot="1" x14ac:dyDescent="0.3">
      <c r="F39" s="88" t="s">
        <v>811</v>
      </c>
      <c r="G39" s="88" t="s">
        <v>596</v>
      </c>
      <c r="H39" s="88" t="s">
        <v>597</v>
      </c>
      <c r="I39" s="88" t="s">
        <v>502</v>
      </c>
      <c r="J39" s="89"/>
      <c r="K39" s="88" t="s">
        <v>677</v>
      </c>
      <c r="L39" s="88" t="s">
        <v>518</v>
      </c>
      <c r="M39" s="89"/>
      <c r="N39" s="89"/>
      <c r="O39" s="89"/>
      <c r="P39" s="89"/>
      <c r="Q39" s="89"/>
      <c r="R39" s="89"/>
      <c r="T39" s="146"/>
      <c r="U39" s="149"/>
      <c r="V39" s="152"/>
      <c r="W39" s="154"/>
      <c r="X39" s="45" t="s">
        <v>351</v>
      </c>
      <c r="Y39" s="32" t="s">
        <v>497</v>
      </c>
    </row>
    <row r="40" spans="6:25" ht="21" thickBot="1" x14ac:dyDescent="0.3">
      <c r="F40" s="88" t="s">
        <v>810</v>
      </c>
      <c r="G40" s="88" t="s">
        <v>598</v>
      </c>
      <c r="H40" s="88" t="s">
        <v>599</v>
      </c>
      <c r="I40" s="88" t="s">
        <v>502</v>
      </c>
      <c r="J40" s="89"/>
      <c r="K40" s="88" t="s">
        <v>678</v>
      </c>
      <c r="L40" s="88" t="s">
        <v>519</v>
      </c>
      <c r="M40" s="89"/>
      <c r="N40" s="89"/>
      <c r="O40" s="89"/>
      <c r="P40" s="89"/>
      <c r="Q40" s="89"/>
      <c r="R40" s="89"/>
      <c r="T40" s="146"/>
      <c r="U40" s="149"/>
      <c r="V40" s="152"/>
      <c r="W40" s="155" t="s">
        <v>326</v>
      </c>
      <c r="X40" s="45" t="s">
        <v>310</v>
      </c>
      <c r="Y40" s="32" t="s">
        <v>498</v>
      </c>
    </row>
    <row r="41" spans="6:25" ht="21" thickBot="1" x14ac:dyDescent="0.3">
      <c r="F41" s="88" t="s">
        <v>602</v>
      </c>
      <c r="G41" s="88" t="s">
        <v>600</v>
      </c>
      <c r="H41" s="88" t="s">
        <v>601</v>
      </c>
      <c r="I41" s="88" t="s">
        <v>502</v>
      </c>
      <c r="J41" s="89"/>
      <c r="K41" s="88" t="s">
        <v>679</v>
      </c>
      <c r="L41" s="88" t="s">
        <v>526</v>
      </c>
      <c r="M41" s="89"/>
      <c r="N41" s="89"/>
      <c r="O41" s="89"/>
      <c r="P41" s="89"/>
      <c r="Q41" s="89"/>
      <c r="R41" s="89"/>
      <c r="T41" s="146"/>
      <c r="U41" s="149"/>
      <c r="V41" s="152"/>
      <c r="W41" s="154"/>
      <c r="X41" s="45" t="s">
        <v>351</v>
      </c>
      <c r="Y41" s="32" t="s">
        <v>497</v>
      </c>
    </row>
    <row r="42" spans="6:25" ht="21" thickBot="1" x14ac:dyDescent="0.3">
      <c r="F42" s="88" t="s">
        <v>605</v>
      </c>
      <c r="G42" s="88" t="s">
        <v>603</v>
      </c>
      <c r="H42" s="88" t="s">
        <v>604</v>
      </c>
      <c r="I42" s="88" t="s">
        <v>502</v>
      </c>
      <c r="J42" s="89"/>
      <c r="K42" s="88" t="s">
        <v>680</v>
      </c>
      <c r="L42" s="88" t="s">
        <v>527</v>
      </c>
      <c r="M42" s="89"/>
      <c r="N42" s="89"/>
      <c r="O42" s="89"/>
      <c r="P42" s="89"/>
      <c r="Q42" s="89"/>
      <c r="R42" s="89"/>
      <c r="T42" s="146"/>
      <c r="U42" s="149"/>
      <c r="V42" s="152"/>
      <c r="W42" s="155" t="s">
        <v>336</v>
      </c>
      <c r="X42" s="45" t="s">
        <v>311</v>
      </c>
      <c r="Y42" s="32" t="s">
        <v>472</v>
      </c>
    </row>
    <row r="43" spans="6:25" ht="21" thickBot="1" x14ac:dyDescent="0.3">
      <c r="F43" s="88" t="s">
        <v>608</v>
      </c>
      <c r="G43" s="88" t="s">
        <v>606</v>
      </c>
      <c r="H43" s="88" t="s">
        <v>607</v>
      </c>
      <c r="I43" s="88" t="s">
        <v>502</v>
      </c>
      <c r="J43" s="89"/>
      <c r="K43" s="88" t="s">
        <v>681</v>
      </c>
      <c r="L43" s="88" t="s">
        <v>528</v>
      </c>
      <c r="M43" s="89"/>
      <c r="N43" s="89"/>
      <c r="O43" s="89"/>
      <c r="P43" s="89"/>
      <c r="Q43" s="89"/>
      <c r="R43" s="89"/>
      <c r="T43" s="147"/>
      <c r="U43" s="150"/>
      <c r="V43" s="153"/>
      <c r="W43" s="150"/>
      <c r="X43" s="46" t="s">
        <v>352</v>
      </c>
      <c r="Y43" s="32" t="s">
        <v>499</v>
      </c>
    </row>
    <row r="44" spans="6:25" ht="24" thickBot="1" x14ac:dyDescent="0.3">
      <c r="F44" s="88" t="s">
        <v>611</v>
      </c>
      <c r="G44" s="88" t="s">
        <v>609</v>
      </c>
      <c r="H44" s="88" t="s">
        <v>610</v>
      </c>
      <c r="I44" s="88" t="s">
        <v>502</v>
      </c>
      <c r="J44" s="89"/>
      <c r="K44" s="88" t="s">
        <v>680</v>
      </c>
      <c r="L44" s="88" t="s">
        <v>527</v>
      </c>
      <c r="M44" s="89"/>
      <c r="N44" s="89"/>
      <c r="O44" s="89"/>
      <c r="P44" s="89"/>
      <c r="Q44" s="89"/>
      <c r="R44" s="89"/>
      <c r="T44" s="139" t="s">
        <v>353</v>
      </c>
      <c r="U44" s="140"/>
      <c r="V44" s="140"/>
      <c r="W44" s="140"/>
      <c r="X44" s="141"/>
      <c r="Y44" s="32"/>
    </row>
    <row r="45" spans="6:25" ht="21" thickBot="1" x14ac:dyDescent="0.3">
      <c r="F45" s="88" t="s">
        <v>614</v>
      </c>
      <c r="G45" s="88" t="s">
        <v>612</v>
      </c>
      <c r="H45" s="88" t="s">
        <v>613</v>
      </c>
      <c r="I45" s="88" t="s">
        <v>503</v>
      </c>
      <c r="J45" s="89"/>
      <c r="K45" s="88" t="s">
        <v>673</v>
      </c>
      <c r="L45" s="88" t="s">
        <v>514</v>
      </c>
      <c r="M45" s="89"/>
      <c r="N45" s="89"/>
      <c r="O45" s="89"/>
      <c r="P45" s="89"/>
      <c r="Q45" s="89"/>
      <c r="R45" s="89"/>
      <c r="T45" s="133">
        <v>10</v>
      </c>
      <c r="U45" s="133" t="s">
        <v>354</v>
      </c>
      <c r="V45" s="133" t="s">
        <v>65</v>
      </c>
      <c r="W45" s="31" t="s">
        <v>325</v>
      </c>
      <c r="X45" s="32" t="s">
        <v>281</v>
      </c>
      <c r="Y45" s="32" t="s">
        <v>514</v>
      </c>
    </row>
    <row r="46" spans="6:25" ht="21" thickBot="1" x14ac:dyDescent="0.3">
      <c r="F46" s="88" t="s">
        <v>617</v>
      </c>
      <c r="G46" s="88" t="s">
        <v>615</v>
      </c>
      <c r="H46" s="88" t="s">
        <v>616</v>
      </c>
      <c r="I46" s="88" t="s">
        <v>502</v>
      </c>
      <c r="J46" s="89"/>
      <c r="K46" s="88" t="s">
        <v>682</v>
      </c>
      <c r="L46" s="88" t="s">
        <v>529</v>
      </c>
      <c r="M46" s="89"/>
      <c r="N46" s="89"/>
      <c r="O46" s="89"/>
      <c r="P46" s="89"/>
      <c r="Q46" s="89"/>
      <c r="R46" s="89"/>
      <c r="T46" s="134"/>
      <c r="U46" s="134"/>
      <c r="V46" s="134"/>
      <c r="W46" s="33" t="s">
        <v>326</v>
      </c>
      <c r="X46" s="32" t="s">
        <v>282</v>
      </c>
      <c r="Y46" s="32" t="s">
        <v>515</v>
      </c>
    </row>
    <row r="47" spans="6:25" ht="21" thickBot="1" x14ac:dyDescent="0.3">
      <c r="F47" s="88" t="s">
        <v>620</v>
      </c>
      <c r="G47" s="88" t="s">
        <v>618</v>
      </c>
      <c r="H47" s="88" t="s">
        <v>619</v>
      </c>
      <c r="I47" s="88" t="s">
        <v>502</v>
      </c>
      <c r="J47" s="89"/>
      <c r="K47" s="88" t="s">
        <v>683</v>
      </c>
      <c r="L47" s="88" t="s">
        <v>530</v>
      </c>
      <c r="M47" s="89"/>
      <c r="N47" s="89"/>
      <c r="O47" s="89"/>
      <c r="P47" s="89"/>
      <c r="Q47" s="89"/>
      <c r="R47" s="89"/>
      <c r="T47" s="135"/>
      <c r="U47" s="135"/>
      <c r="V47" s="135"/>
      <c r="W47" s="35" t="s">
        <v>336</v>
      </c>
      <c r="X47" s="32" t="s">
        <v>283</v>
      </c>
      <c r="Y47" s="32" t="s">
        <v>516</v>
      </c>
    </row>
    <row r="48" spans="6:25" ht="21" thickBot="1" x14ac:dyDescent="0.3">
      <c r="F48" s="88" t="s">
        <v>623</v>
      </c>
      <c r="G48" s="88" t="s">
        <v>621</v>
      </c>
      <c r="H48" s="88" t="s">
        <v>622</v>
      </c>
      <c r="I48" s="88" t="s">
        <v>501</v>
      </c>
      <c r="J48" s="89"/>
      <c r="K48" s="88" t="s">
        <v>684</v>
      </c>
      <c r="L48" s="86" t="s">
        <v>531</v>
      </c>
      <c r="M48" s="89"/>
      <c r="N48" s="89"/>
      <c r="O48" s="89"/>
      <c r="P48" s="89"/>
      <c r="Q48" s="89"/>
      <c r="R48" s="89"/>
      <c r="T48" s="37"/>
      <c r="U48" s="38"/>
      <c r="V48" s="38"/>
      <c r="W48" s="38"/>
      <c r="X48" s="32"/>
      <c r="Y48" s="32"/>
    </row>
    <row r="49" spans="6:25" ht="21" thickBot="1" x14ac:dyDescent="0.3">
      <c r="F49" s="88" t="s">
        <v>628</v>
      </c>
      <c r="G49" s="88" t="s">
        <v>624</v>
      </c>
      <c r="H49" s="88" t="s">
        <v>625</v>
      </c>
      <c r="I49" s="88" t="s">
        <v>502</v>
      </c>
      <c r="J49" s="89"/>
      <c r="K49" s="88" t="s">
        <v>685</v>
      </c>
      <c r="L49" s="86" t="s">
        <v>532</v>
      </c>
      <c r="M49" s="89"/>
      <c r="N49" s="89"/>
      <c r="O49" s="89"/>
      <c r="P49" s="89"/>
      <c r="Q49" s="89"/>
      <c r="R49" s="89"/>
      <c r="T49" s="133">
        <v>11</v>
      </c>
      <c r="U49" s="133" t="s">
        <v>355</v>
      </c>
      <c r="V49" s="133" t="s">
        <v>68</v>
      </c>
      <c r="W49" s="31" t="s">
        <v>325</v>
      </c>
      <c r="X49" s="32" t="s">
        <v>287</v>
      </c>
      <c r="Y49" s="32" t="s">
        <v>517</v>
      </c>
    </row>
    <row r="50" spans="6:25" ht="21" thickBot="1" x14ac:dyDescent="0.3">
      <c r="F50" s="88" t="s">
        <v>629</v>
      </c>
      <c r="G50" s="88" t="s">
        <v>626</v>
      </c>
      <c r="H50" s="88" t="s">
        <v>627</v>
      </c>
      <c r="I50" s="88" t="s">
        <v>502</v>
      </c>
      <c r="J50" s="89"/>
      <c r="K50" s="88" t="s">
        <v>684</v>
      </c>
      <c r="L50" s="86" t="s">
        <v>531</v>
      </c>
      <c r="M50" s="89"/>
      <c r="N50" s="89"/>
      <c r="O50" s="89"/>
      <c r="P50" s="89"/>
      <c r="Q50" s="89"/>
      <c r="R50" s="89"/>
      <c r="T50" s="134"/>
      <c r="U50" s="134"/>
      <c r="V50" s="134"/>
      <c r="W50" s="33" t="s">
        <v>326</v>
      </c>
      <c r="X50" s="32" t="s">
        <v>288</v>
      </c>
      <c r="Y50" s="32" t="s">
        <v>518</v>
      </c>
    </row>
    <row r="51" spans="6:25" ht="21" thickBot="1" x14ac:dyDescent="0.3">
      <c r="F51" s="88" t="s">
        <v>633</v>
      </c>
      <c r="G51" s="88" t="s">
        <v>631</v>
      </c>
      <c r="H51" s="88" t="s">
        <v>632</v>
      </c>
      <c r="I51" s="88" t="s">
        <v>501</v>
      </c>
      <c r="J51" s="89"/>
      <c r="K51" s="88" t="s">
        <v>676</v>
      </c>
      <c r="L51" s="86" t="s">
        <v>517</v>
      </c>
      <c r="M51" s="89"/>
      <c r="N51" s="89"/>
      <c r="O51" s="89"/>
      <c r="P51" s="89"/>
      <c r="Q51" s="89"/>
      <c r="R51" s="89"/>
      <c r="T51" s="135"/>
      <c r="U51" s="135"/>
      <c r="V51" s="135"/>
      <c r="W51" s="35" t="s">
        <v>336</v>
      </c>
      <c r="X51" s="32" t="s">
        <v>289</v>
      </c>
      <c r="Y51" s="32" t="s">
        <v>519</v>
      </c>
    </row>
    <row r="52" spans="6:25" ht="24" thickBot="1" x14ac:dyDescent="0.3">
      <c r="F52" s="88" t="s">
        <v>643</v>
      </c>
      <c r="G52" s="88" t="s">
        <v>634</v>
      </c>
      <c r="H52" s="88" t="s">
        <v>635</v>
      </c>
      <c r="I52" s="88" t="s">
        <v>502</v>
      </c>
      <c r="J52" s="89"/>
      <c r="K52" s="88" t="s">
        <v>686</v>
      </c>
      <c r="L52" s="86" t="s">
        <v>533</v>
      </c>
      <c r="M52" s="89"/>
      <c r="N52" s="89"/>
      <c r="O52" s="89"/>
      <c r="P52" s="89"/>
      <c r="Q52" s="89"/>
      <c r="R52" s="89"/>
      <c r="T52" s="139" t="s">
        <v>356</v>
      </c>
      <c r="U52" s="140"/>
      <c r="V52" s="140"/>
      <c r="W52" s="140"/>
      <c r="X52" s="141"/>
      <c r="Y52" s="32"/>
    </row>
    <row r="53" spans="6:25" ht="21" thickBot="1" x14ac:dyDescent="0.3">
      <c r="F53" s="88" t="s">
        <v>639</v>
      </c>
      <c r="G53" s="88" t="s">
        <v>636</v>
      </c>
      <c r="H53" s="88" t="s">
        <v>637</v>
      </c>
      <c r="I53" s="88" t="s">
        <v>638</v>
      </c>
      <c r="J53" s="89"/>
      <c r="K53" s="88" t="s">
        <v>687</v>
      </c>
      <c r="L53" s="86" t="s">
        <v>536</v>
      </c>
      <c r="M53" s="89"/>
      <c r="N53" s="89"/>
      <c r="O53" s="89"/>
      <c r="P53" s="89"/>
      <c r="Q53" s="89"/>
      <c r="R53" s="89"/>
      <c r="T53" s="133">
        <v>12</v>
      </c>
      <c r="U53" s="133" t="s">
        <v>354</v>
      </c>
      <c r="V53" s="142" t="s">
        <v>357</v>
      </c>
      <c r="W53" s="133" t="s">
        <v>325</v>
      </c>
      <c r="X53" s="31" t="s">
        <v>284</v>
      </c>
      <c r="Y53" s="32" t="s">
        <v>526</v>
      </c>
    </row>
    <row r="54" spans="6:25" ht="21" thickBot="1" x14ac:dyDescent="0.3">
      <c r="F54" s="88" t="s">
        <v>642</v>
      </c>
      <c r="G54" s="88" t="s">
        <v>640</v>
      </c>
      <c r="H54" s="88" t="s">
        <v>641</v>
      </c>
      <c r="I54" s="88" t="s">
        <v>501</v>
      </c>
      <c r="J54" s="89"/>
      <c r="K54" s="88" t="s">
        <v>688</v>
      </c>
      <c r="L54" s="86" t="s">
        <v>537</v>
      </c>
      <c r="M54" s="89"/>
      <c r="N54" s="89"/>
      <c r="O54" s="89"/>
      <c r="P54" s="89"/>
      <c r="Q54" s="89"/>
      <c r="R54" s="89"/>
      <c r="T54" s="134"/>
      <c r="U54" s="134"/>
      <c r="V54" s="143"/>
      <c r="W54" s="135"/>
      <c r="X54" s="47" t="s">
        <v>358</v>
      </c>
      <c r="Y54" s="32" t="s">
        <v>527</v>
      </c>
    </row>
    <row r="55" spans="6:25" ht="21" thickBot="1" x14ac:dyDescent="0.3">
      <c r="F55" s="88" t="s">
        <v>812</v>
      </c>
      <c r="G55" s="88" t="s">
        <v>702</v>
      </c>
      <c r="H55" s="88" t="s">
        <v>703</v>
      </c>
      <c r="I55" s="88" t="s">
        <v>501</v>
      </c>
      <c r="J55" s="89"/>
      <c r="K55" s="88" t="s">
        <v>689</v>
      </c>
      <c r="L55" s="86" t="s">
        <v>538</v>
      </c>
      <c r="M55" s="89"/>
      <c r="N55" s="89"/>
      <c r="O55" s="89"/>
      <c r="P55" s="89"/>
      <c r="Q55" s="89"/>
      <c r="R55" s="89"/>
      <c r="T55" s="134"/>
      <c r="U55" s="134"/>
      <c r="V55" s="143"/>
      <c r="W55" s="133" t="s">
        <v>326</v>
      </c>
      <c r="X55" s="31" t="s">
        <v>285</v>
      </c>
      <c r="Y55" s="32" t="s">
        <v>528</v>
      </c>
    </row>
    <row r="56" spans="6:25" ht="21" thickBot="1" x14ac:dyDescent="0.3">
      <c r="F56" s="88" t="s">
        <v>813</v>
      </c>
      <c r="G56" s="88" t="s">
        <v>704</v>
      </c>
      <c r="H56" s="88" t="s">
        <v>705</v>
      </c>
      <c r="I56" s="88" t="s">
        <v>502</v>
      </c>
      <c r="J56" s="89"/>
      <c r="K56" s="88" t="s">
        <v>690</v>
      </c>
      <c r="L56" s="86" t="s">
        <v>539</v>
      </c>
      <c r="M56" s="89"/>
      <c r="N56" s="89"/>
      <c r="O56" s="89"/>
      <c r="P56" s="89"/>
      <c r="Q56" s="89"/>
      <c r="R56" s="89"/>
      <c r="T56" s="134"/>
      <c r="U56" s="134"/>
      <c r="V56" s="143"/>
      <c r="W56" s="135"/>
      <c r="X56" s="35" t="s">
        <v>358</v>
      </c>
      <c r="Y56" s="32" t="s">
        <v>527</v>
      </c>
    </row>
    <row r="57" spans="6:25" ht="21" thickBot="1" x14ac:dyDescent="0.3">
      <c r="F57" s="88" t="s">
        <v>814</v>
      </c>
      <c r="G57" s="88" t="s">
        <v>706</v>
      </c>
      <c r="H57" s="88" t="s">
        <v>707</v>
      </c>
      <c r="I57" s="88" t="s">
        <v>502</v>
      </c>
      <c r="J57" s="89"/>
      <c r="K57" s="88" t="s">
        <v>691</v>
      </c>
      <c r="L57" s="86" t="s">
        <v>546</v>
      </c>
      <c r="M57" s="89"/>
      <c r="T57" s="134"/>
      <c r="U57" s="134"/>
      <c r="V57" s="143"/>
      <c r="W57" s="133" t="s">
        <v>336</v>
      </c>
      <c r="X57" s="31" t="s">
        <v>286</v>
      </c>
      <c r="Y57" s="32" t="s">
        <v>514</v>
      </c>
    </row>
    <row r="58" spans="6:25" ht="21" thickBot="1" x14ac:dyDescent="0.3">
      <c r="F58" s="88" t="s">
        <v>815</v>
      </c>
      <c r="G58" s="88" t="s">
        <v>708</v>
      </c>
      <c r="H58" s="88" t="s">
        <v>709</v>
      </c>
      <c r="I58" s="88" t="s">
        <v>502</v>
      </c>
      <c r="K58" s="88" t="s">
        <v>693</v>
      </c>
      <c r="L58" s="86" t="s">
        <v>547</v>
      </c>
      <c r="T58" s="135"/>
      <c r="U58" s="135"/>
      <c r="V58" s="144"/>
      <c r="W58" s="135"/>
      <c r="X58" s="35" t="s">
        <v>359</v>
      </c>
      <c r="Y58" s="32" t="s">
        <v>529</v>
      </c>
    </row>
    <row r="59" spans="6:25" ht="21" thickBot="1" x14ac:dyDescent="0.3">
      <c r="F59" s="88" t="s">
        <v>816</v>
      </c>
      <c r="G59" s="88" t="s">
        <v>710</v>
      </c>
      <c r="H59" s="88" t="s">
        <v>711</v>
      </c>
      <c r="I59" s="88" t="s">
        <v>501</v>
      </c>
      <c r="K59" s="88" t="s">
        <v>687</v>
      </c>
      <c r="L59" s="86" t="s">
        <v>536</v>
      </c>
      <c r="T59" s="133">
        <v>13</v>
      </c>
      <c r="U59" s="133" t="s">
        <v>355</v>
      </c>
      <c r="V59" s="142" t="s">
        <v>360</v>
      </c>
      <c r="W59" s="133" t="s">
        <v>325</v>
      </c>
      <c r="X59" s="32" t="s">
        <v>290</v>
      </c>
      <c r="Y59" s="32" t="s">
        <v>530</v>
      </c>
    </row>
    <row r="60" spans="6:25" ht="21" thickBot="1" x14ac:dyDescent="0.3">
      <c r="F60" s="88" t="s">
        <v>817</v>
      </c>
      <c r="G60" s="88" t="s">
        <v>571</v>
      </c>
      <c r="H60" s="88" t="s">
        <v>572</v>
      </c>
      <c r="I60" s="88" t="s">
        <v>501</v>
      </c>
      <c r="K60" s="88" t="s">
        <v>693</v>
      </c>
      <c r="L60" s="86" t="s">
        <v>547</v>
      </c>
      <c r="T60" s="134"/>
      <c r="U60" s="134"/>
      <c r="V60" s="143"/>
      <c r="W60" s="156"/>
      <c r="X60" s="34" t="s">
        <v>361</v>
      </c>
      <c r="Y60" s="32" t="s">
        <v>531</v>
      </c>
    </row>
    <row r="61" spans="6:25" ht="21" thickBot="1" x14ac:dyDescent="0.3">
      <c r="F61" s="88" t="s">
        <v>818</v>
      </c>
      <c r="G61" s="88" t="s">
        <v>712</v>
      </c>
      <c r="H61" s="88" t="s">
        <v>713</v>
      </c>
      <c r="I61" s="88" t="s">
        <v>501</v>
      </c>
      <c r="K61" s="88" t="s">
        <v>688</v>
      </c>
      <c r="L61" s="86" t="s">
        <v>537</v>
      </c>
      <c r="T61" s="134"/>
      <c r="U61" s="134"/>
      <c r="V61" s="143"/>
      <c r="W61" s="157" t="s">
        <v>326</v>
      </c>
      <c r="X61" s="34" t="s">
        <v>291</v>
      </c>
      <c r="Y61" s="32" t="s">
        <v>532</v>
      </c>
    </row>
    <row r="62" spans="6:25" ht="21" thickBot="1" x14ac:dyDescent="0.3">
      <c r="F62" s="88" t="s">
        <v>819</v>
      </c>
      <c r="G62" s="88" t="s">
        <v>714</v>
      </c>
      <c r="H62" s="88" t="s">
        <v>715</v>
      </c>
      <c r="I62" s="88" t="s">
        <v>501</v>
      </c>
      <c r="K62" s="88" t="s">
        <v>692</v>
      </c>
      <c r="L62" s="86" t="s">
        <v>548</v>
      </c>
      <c r="T62" s="134"/>
      <c r="U62" s="134"/>
      <c r="V62" s="143"/>
      <c r="W62" s="156"/>
      <c r="X62" s="34" t="s">
        <v>361</v>
      </c>
      <c r="Y62" s="32" t="s">
        <v>531</v>
      </c>
    </row>
    <row r="63" spans="6:25" ht="21" thickBot="1" x14ac:dyDescent="0.3">
      <c r="F63" s="88" t="s">
        <v>573</v>
      </c>
      <c r="G63" s="88" t="s">
        <v>716</v>
      </c>
      <c r="H63" s="88" t="s">
        <v>717</v>
      </c>
      <c r="I63" s="88" t="s">
        <v>501</v>
      </c>
      <c r="K63" s="88" t="s">
        <v>695</v>
      </c>
      <c r="L63" s="86" t="s">
        <v>583</v>
      </c>
      <c r="T63" s="134"/>
      <c r="U63" s="134"/>
      <c r="V63" s="143"/>
      <c r="W63" s="157" t="s">
        <v>336</v>
      </c>
      <c r="X63" s="34" t="s">
        <v>292</v>
      </c>
      <c r="Y63" s="32" t="s">
        <v>517</v>
      </c>
    </row>
    <row r="64" spans="6:25" ht="21" thickBot="1" x14ac:dyDescent="0.3">
      <c r="F64" s="88" t="s">
        <v>820</v>
      </c>
      <c r="G64" s="88" t="s">
        <v>718</v>
      </c>
      <c r="H64" s="88" t="s">
        <v>719</v>
      </c>
      <c r="I64" s="88" t="s">
        <v>501</v>
      </c>
      <c r="K64" s="88" t="s">
        <v>696</v>
      </c>
      <c r="L64" s="86" t="s">
        <v>591</v>
      </c>
      <c r="T64" s="135"/>
      <c r="U64" s="135"/>
      <c r="V64" s="144"/>
      <c r="W64" s="135"/>
      <c r="X64" s="36" t="s">
        <v>362</v>
      </c>
      <c r="Y64" s="32" t="s">
        <v>533</v>
      </c>
    </row>
    <row r="65" spans="6:25" ht="24" thickBot="1" x14ac:dyDescent="0.3">
      <c r="F65" s="88" t="s">
        <v>470</v>
      </c>
      <c r="G65" s="88" t="s">
        <v>720</v>
      </c>
      <c r="H65" s="88" t="s">
        <v>721</v>
      </c>
      <c r="I65" s="88" t="s">
        <v>501</v>
      </c>
      <c r="K65" s="88" t="s">
        <v>694</v>
      </c>
      <c r="L65" s="86" t="s">
        <v>592</v>
      </c>
      <c r="T65" s="139" t="s">
        <v>363</v>
      </c>
      <c r="U65" s="140"/>
      <c r="V65" s="140"/>
      <c r="W65" s="140"/>
      <c r="X65" s="141"/>
      <c r="Y65" s="32"/>
    </row>
    <row r="66" spans="6:25" ht="24" thickBot="1" x14ac:dyDescent="0.3">
      <c r="F66" s="88" t="s">
        <v>822</v>
      </c>
      <c r="G66" s="88" t="s">
        <v>722</v>
      </c>
      <c r="H66" s="88" t="s">
        <v>723</v>
      </c>
      <c r="I66" s="88" t="s">
        <v>501</v>
      </c>
      <c r="K66" s="88" t="s">
        <v>697</v>
      </c>
      <c r="L66" s="86" t="s">
        <v>593</v>
      </c>
      <c r="T66" s="133">
        <v>14</v>
      </c>
      <c r="U66" s="133" t="s">
        <v>328</v>
      </c>
      <c r="V66" s="133" t="s">
        <v>69</v>
      </c>
      <c r="W66" s="48" t="s">
        <v>324</v>
      </c>
      <c r="X66" s="30" t="s">
        <v>299</v>
      </c>
      <c r="Y66" s="32" t="s">
        <v>536</v>
      </c>
    </row>
    <row r="67" spans="6:25" ht="21" thickBot="1" x14ac:dyDescent="0.3">
      <c r="F67" s="88" t="s">
        <v>513</v>
      </c>
      <c r="G67" s="88" t="s">
        <v>724</v>
      </c>
      <c r="H67" s="88" t="s">
        <v>725</v>
      </c>
      <c r="I67" s="88" t="s">
        <v>501</v>
      </c>
      <c r="K67" s="88" t="s">
        <v>698</v>
      </c>
      <c r="L67" s="86" t="s">
        <v>594</v>
      </c>
      <c r="T67" s="134"/>
      <c r="U67" s="134"/>
      <c r="V67" s="134"/>
      <c r="W67" s="40" t="s">
        <v>325</v>
      </c>
      <c r="X67" s="41" t="s">
        <v>300</v>
      </c>
      <c r="Y67" s="32" t="s">
        <v>537</v>
      </c>
    </row>
    <row r="68" spans="6:25" ht="21" thickBot="1" x14ac:dyDescent="0.3">
      <c r="F68" s="88" t="s">
        <v>824</v>
      </c>
      <c r="G68" s="88" t="s">
        <v>726</v>
      </c>
      <c r="H68" s="88" t="s">
        <v>727</v>
      </c>
      <c r="I68" s="88" t="s">
        <v>501</v>
      </c>
      <c r="K68" s="88" t="s">
        <v>699</v>
      </c>
      <c r="L68" s="86" t="s">
        <v>595</v>
      </c>
      <c r="T68" s="134"/>
      <c r="U68" s="134"/>
      <c r="V68" s="134"/>
      <c r="W68" s="42" t="s">
        <v>326</v>
      </c>
      <c r="X68" s="49" t="s">
        <v>301</v>
      </c>
      <c r="Y68" s="32" t="s">
        <v>538</v>
      </c>
    </row>
    <row r="69" spans="6:25" ht="21" thickBot="1" x14ac:dyDescent="0.3">
      <c r="F69" s="88" t="s">
        <v>549</v>
      </c>
      <c r="G69" s="88" t="s">
        <v>728</v>
      </c>
      <c r="H69" s="88" t="s">
        <v>729</v>
      </c>
      <c r="I69" s="88" t="s">
        <v>501</v>
      </c>
      <c r="K69" s="88" t="s">
        <v>887</v>
      </c>
      <c r="L69" s="86" t="s">
        <v>875</v>
      </c>
      <c r="T69" s="135"/>
      <c r="U69" s="135"/>
      <c r="V69" s="135"/>
      <c r="W69" s="42" t="s">
        <v>336</v>
      </c>
      <c r="X69" s="49" t="s">
        <v>302</v>
      </c>
      <c r="Y69" s="32" t="s">
        <v>539</v>
      </c>
    </row>
    <row r="70" spans="6:25" ht="24" thickBot="1" x14ac:dyDescent="0.3">
      <c r="F70" s="88" t="s">
        <v>826</v>
      </c>
      <c r="G70" s="88" t="s">
        <v>730</v>
      </c>
      <c r="H70" s="88" t="s">
        <v>731</v>
      </c>
      <c r="I70" s="88" t="s">
        <v>501</v>
      </c>
      <c r="K70" s="88" t="s">
        <v>888</v>
      </c>
      <c r="L70" s="86" t="s">
        <v>871</v>
      </c>
      <c r="T70" s="139" t="s">
        <v>364</v>
      </c>
      <c r="U70" s="140"/>
      <c r="V70" s="140"/>
      <c r="W70" s="140"/>
      <c r="X70" s="141"/>
      <c r="Y70" s="32"/>
    </row>
    <row r="71" spans="6:25" ht="21" thickBot="1" x14ac:dyDescent="0.3">
      <c r="F71" s="132" t="s">
        <v>630</v>
      </c>
      <c r="G71" s="132" t="s">
        <v>732</v>
      </c>
      <c r="H71" s="132" t="s">
        <v>733</v>
      </c>
      <c r="I71" s="132" t="s">
        <v>501</v>
      </c>
      <c r="K71" s="88" t="s">
        <v>889</v>
      </c>
      <c r="L71" s="86" t="s">
        <v>876</v>
      </c>
      <c r="T71" s="145">
        <v>9</v>
      </c>
      <c r="U71" s="158" t="s">
        <v>328</v>
      </c>
      <c r="V71" s="142" t="s">
        <v>365</v>
      </c>
      <c r="W71" s="133" t="s">
        <v>325</v>
      </c>
      <c r="X71" s="31" t="s">
        <v>303</v>
      </c>
      <c r="Y71" s="32" t="s">
        <v>546</v>
      </c>
    </row>
    <row r="72" spans="6:25" ht="21" thickBot="1" x14ac:dyDescent="0.3">
      <c r="F72" s="88" t="s">
        <v>827</v>
      </c>
      <c r="G72" s="88" t="s">
        <v>734</v>
      </c>
      <c r="H72" s="88" t="s">
        <v>735</v>
      </c>
      <c r="I72" s="88" t="s">
        <v>501</v>
      </c>
      <c r="K72" s="88" t="s">
        <v>890</v>
      </c>
      <c r="L72" s="86" t="s">
        <v>881</v>
      </c>
      <c r="T72" s="146"/>
      <c r="U72" s="159"/>
      <c r="V72" s="143"/>
      <c r="W72" s="135"/>
      <c r="X72" s="47" t="s">
        <v>366</v>
      </c>
      <c r="Y72" s="32" t="s">
        <v>547</v>
      </c>
    </row>
    <row r="73" spans="6:25" ht="21" thickBot="1" x14ac:dyDescent="0.3">
      <c r="F73" s="88" t="s">
        <v>828</v>
      </c>
      <c r="G73" s="88" t="s">
        <v>736</v>
      </c>
      <c r="H73" s="88" t="s">
        <v>737</v>
      </c>
      <c r="I73" s="88" t="s">
        <v>501</v>
      </c>
      <c r="K73" s="88" t="s">
        <v>891</v>
      </c>
      <c r="L73" s="86" t="s">
        <v>882</v>
      </c>
      <c r="T73" s="146"/>
      <c r="U73" s="159"/>
      <c r="V73" s="143"/>
      <c r="W73" s="133" t="s">
        <v>326</v>
      </c>
      <c r="X73" s="31" t="s">
        <v>304</v>
      </c>
      <c r="Y73" s="32" t="s">
        <v>536</v>
      </c>
    </row>
    <row r="74" spans="6:25" ht="21" thickBot="1" x14ac:dyDescent="0.3">
      <c r="F74" s="88" t="s">
        <v>453</v>
      </c>
      <c r="G74" s="88" t="s">
        <v>738</v>
      </c>
      <c r="H74" s="88" t="s">
        <v>739</v>
      </c>
      <c r="I74" s="88" t="s">
        <v>501</v>
      </c>
      <c r="K74" s="88" t="s">
        <v>892</v>
      </c>
      <c r="L74" s="86" t="s">
        <v>883</v>
      </c>
      <c r="T74" s="146"/>
      <c r="U74" s="159"/>
      <c r="V74" s="143"/>
      <c r="W74" s="135"/>
      <c r="X74" s="35" t="s">
        <v>366</v>
      </c>
      <c r="Y74" s="32" t="s">
        <v>547</v>
      </c>
    </row>
    <row r="75" spans="6:25" ht="21" thickBot="1" x14ac:dyDescent="0.3">
      <c r="F75" s="88" t="s">
        <v>831</v>
      </c>
      <c r="G75" s="88" t="s">
        <v>740</v>
      </c>
      <c r="H75" s="88" t="s">
        <v>741</v>
      </c>
      <c r="I75" s="88" t="s">
        <v>501</v>
      </c>
      <c r="K75" s="88" t="s">
        <v>905</v>
      </c>
      <c r="L75" s="86" t="s">
        <v>901</v>
      </c>
      <c r="T75" s="146"/>
      <c r="U75" s="159"/>
      <c r="V75" s="143"/>
      <c r="W75" s="133" t="s">
        <v>336</v>
      </c>
      <c r="X75" s="50" t="s">
        <v>305</v>
      </c>
      <c r="Y75" s="32" t="s">
        <v>537</v>
      </c>
    </row>
    <row r="76" spans="6:25" ht="21" thickBot="1" x14ac:dyDescent="0.3">
      <c r="F76" s="88" t="s">
        <v>832</v>
      </c>
      <c r="G76" s="88" t="s">
        <v>742</v>
      </c>
      <c r="H76" s="88" t="s">
        <v>743</v>
      </c>
      <c r="I76" s="88" t="s">
        <v>501</v>
      </c>
      <c r="K76" s="88" t="s">
        <v>906</v>
      </c>
      <c r="L76" s="86" t="s">
        <v>902</v>
      </c>
      <c r="T76" s="147"/>
      <c r="U76" s="160"/>
      <c r="V76" s="144"/>
      <c r="W76" s="135"/>
      <c r="X76" s="35" t="s">
        <v>367</v>
      </c>
      <c r="Y76" s="32" t="s">
        <v>548</v>
      </c>
    </row>
    <row r="77" spans="6:25" ht="15.75" thickBot="1" x14ac:dyDescent="0.3">
      <c r="F77" s="88" t="s">
        <v>833</v>
      </c>
      <c r="G77" s="88" t="s">
        <v>744</v>
      </c>
      <c r="H77" s="88" t="s">
        <v>745</v>
      </c>
      <c r="I77" s="88" t="s">
        <v>501</v>
      </c>
      <c r="K77" s="88" t="s">
        <v>907</v>
      </c>
      <c r="L77" s="86" t="s">
        <v>903</v>
      </c>
      <c r="T77" s="27"/>
      <c r="U77" s="27"/>
      <c r="V77" s="27"/>
      <c r="W77" s="27"/>
      <c r="X77" s="27"/>
    </row>
    <row r="78" spans="6:25" ht="24" thickBot="1" x14ac:dyDescent="0.3">
      <c r="F78" s="88" t="s">
        <v>834</v>
      </c>
      <c r="G78" s="88" t="s">
        <v>746</v>
      </c>
      <c r="H78" s="88" t="s">
        <v>747</v>
      </c>
      <c r="I78" s="88" t="s">
        <v>501</v>
      </c>
      <c r="K78" s="88" t="s">
        <v>925</v>
      </c>
      <c r="L78" s="86" t="s">
        <v>912</v>
      </c>
      <c r="T78" s="139" t="s">
        <v>577</v>
      </c>
      <c r="U78" s="140"/>
      <c r="V78" s="140"/>
      <c r="W78" s="140"/>
      <c r="X78" s="141"/>
      <c r="Y78" s="32"/>
    </row>
    <row r="79" spans="6:25" ht="21" thickBot="1" x14ac:dyDescent="0.3">
      <c r="F79" s="88" t="s">
        <v>835</v>
      </c>
      <c r="G79" s="88" t="s">
        <v>748</v>
      </c>
      <c r="H79" s="88" t="s">
        <v>749</v>
      </c>
      <c r="I79" s="88" t="s">
        <v>502</v>
      </c>
      <c r="K79" s="88" t="s">
        <v>926</v>
      </c>
      <c r="L79" s="86" t="s">
        <v>915</v>
      </c>
      <c r="T79" s="133">
        <v>4</v>
      </c>
      <c r="U79" s="133" t="s">
        <v>578</v>
      </c>
      <c r="V79" s="133" t="s">
        <v>71</v>
      </c>
      <c r="W79" s="31" t="s">
        <v>325</v>
      </c>
      <c r="X79" s="32" t="s">
        <v>579</v>
      </c>
      <c r="Y79" s="32" t="s">
        <v>583</v>
      </c>
    </row>
    <row r="80" spans="6:25" ht="21" thickBot="1" x14ac:dyDescent="0.3">
      <c r="F80" s="88" t="s">
        <v>836</v>
      </c>
      <c r="G80" s="88" t="s">
        <v>750</v>
      </c>
      <c r="H80" s="88" t="s">
        <v>751</v>
      </c>
      <c r="I80" s="88" t="s">
        <v>502</v>
      </c>
      <c r="K80" s="88" t="s">
        <v>927</v>
      </c>
      <c r="L80" s="86" t="s">
        <v>918</v>
      </c>
      <c r="T80" s="134"/>
      <c r="U80" s="134"/>
      <c r="V80" s="134"/>
      <c r="W80" s="33" t="s">
        <v>326</v>
      </c>
      <c r="X80" s="32" t="s">
        <v>580</v>
      </c>
      <c r="Y80" s="32" t="s">
        <v>591</v>
      </c>
    </row>
    <row r="81" spans="6:25" ht="21" thickBot="1" x14ac:dyDescent="0.3">
      <c r="F81" s="88" t="s">
        <v>837</v>
      </c>
      <c r="G81" s="88" t="s">
        <v>752</v>
      </c>
      <c r="H81" s="88" t="s">
        <v>753</v>
      </c>
      <c r="I81" s="88" t="s">
        <v>501</v>
      </c>
      <c r="K81" s="88" t="s">
        <v>928</v>
      </c>
      <c r="L81" s="86" t="s">
        <v>919</v>
      </c>
      <c r="T81" s="135"/>
      <c r="U81" s="135"/>
      <c r="V81" s="135"/>
      <c r="W81" s="35" t="s">
        <v>336</v>
      </c>
      <c r="X81" s="32" t="s">
        <v>581</v>
      </c>
      <c r="Y81" s="32" t="s">
        <v>592</v>
      </c>
    </row>
    <row r="82" spans="6:25" ht="21" thickBot="1" x14ac:dyDescent="0.3">
      <c r="F82" s="88" t="s">
        <v>838</v>
      </c>
      <c r="G82" s="88" t="s">
        <v>754</v>
      </c>
      <c r="H82" s="88" t="s">
        <v>755</v>
      </c>
      <c r="I82" s="88" t="s">
        <v>502</v>
      </c>
      <c r="T82" s="37"/>
      <c r="U82" s="84"/>
      <c r="V82" s="84"/>
      <c r="W82" s="84"/>
      <c r="X82" s="32"/>
      <c r="Y82" s="32"/>
    </row>
    <row r="83" spans="6:25" ht="21" thickBot="1" x14ac:dyDescent="0.3">
      <c r="F83" s="88" t="s">
        <v>839</v>
      </c>
      <c r="G83" s="88" t="s">
        <v>756</v>
      </c>
      <c r="H83" s="88" t="s">
        <v>757</v>
      </c>
      <c r="I83" s="88" t="s">
        <v>502</v>
      </c>
      <c r="T83" s="133">
        <v>5</v>
      </c>
      <c r="U83" s="133" t="s">
        <v>338</v>
      </c>
      <c r="V83" s="133" t="s">
        <v>72</v>
      </c>
      <c r="W83" s="82" t="s">
        <v>325</v>
      </c>
      <c r="X83" s="30" t="s">
        <v>584</v>
      </c>
      <c r="Y83" s="32" t="s">
        <v>593</v>
      </c>
    </row>
    <row r="84" spans="6:25" ht="21" thickBot="1" x14ac:dyDescent="0.3">
      <c r="F84" s="88" t="s">
        <v>840</v>
      </c>
      <c r="G84" s="88" t="s">
        <v>758</v>
      </c>
      <c r="H84" s="88" t="s">
        <v>759</v>
      </c>
      <c r="I84" s="88" t="s">
        <v>502</v>
      </c>
      <c r="T84" s="134"/>
      <c r="U84" s="134"/>
      <c r="V84" s="134"/>
      <c r="W84" s="40" t="s">
        <v>326</v>
      </c>
      <c r="X84" s="30" t="s">
        <v>585</v>
      </c>
      <c r="Y84" s="32" t="s">
        <v>594</v>
      </c>
    </row>
    <row r="85" spans="6:25" ht="21" thickBot="1" x14ac:dyDescent="0.3">
      <c r="F85" s="88" t="s">
        <v>841</v>
      </c>
      <c r="G85" s="88" t="s">
        <v>760</v>
      </c>
      <c r="H85" s="88" t="s">
        <v>761</v>
      </c>
      <c r="I85" s="88" t="s">
        <v>502</v>
      </c>
      <c r="T85" s="135"/>
      <c r="U85" s="135"/>
      <c r="V85" s="135"/>
      <c r="W85" s="83" t="s">
        <v>336</v>
      </c>
      <c r="X85" s="30" t="s">
        <v>586</v>
      </c>
      <c r="Y85" s="32" t="s">
        <v>595</v>
      </c>
    </row>
    <row r="86" spans="6:25" ht="15.75" thickBot="1" x14ac:dyDescent="0.3">
      <c r="F86" s="88" t="s">
        <v>842</v>
      </c>
      <c r="G86" s="88" t="s">
        <v>762</v>
      </c>
      <c r="H86" s="88" t="s">
        <v>763</v>
      </c>
      <c r="I86" s="88" t="s">
        <v>502</v>
      </c>
    </row>
    <row r="87" spans="6:25" ht="24" thickBot="1" x14ac:dyDescent="0.3">
      <c r="F87" s="88" t="s">
        <v>843</v>
      </c>
      <c r="G87" s="88" t="s">
        <v>764</v>
      </c>
      <c r="H87" s="88" t="s">
        <v>765</v>
      </c>
      <c r="I87" s="88" t="s">
        <v>502</v>
      </c>
      <c r="T87" s="139" t="s">
        <v>866</v>
      </c>
      <c r="U87" s="140"/>
      <c r="V87" s="140"/>
      <c r="W87" s="140"/>
      <c r="X87" s="141"/>
      <c r="Y87" s="32"/>
    </row>
    <row r="88" spans="6:25" ht="21" thickBot="1" x14ac:dyDescent="0.3">
      <c r="F88" s="88" t="s">
        <v>844</v>
      </c>
      <c r="G88" s="88" t="s">
        <v>766</v>
      </c>
      <c r="H88" s="88" t="s">
        <v>767</v>
      </c>
      <c r="I88" s="88" t="s">
        <v>502</v>
      </c>
      <c r="T88" s="133">
        <v>4</v>
      </c>
      <c r="U88" s="133"/>
      <c r="V88" s="133" t="s">
        <v>870</v>
      </c>
      <c r="W88" s="31" t="s">
        <v>324</v>
      </c>
      <c r="X88" s="32" t="s">
        <v>867</v>
      </c>
      <c r="Y88" s="32" t="s">
        <v>875</v>
      </c>
    </row>
    <row r="89" spans="6:25" ht="21" thickBot="1" x14ac:dyDescent="0.3">
      <c r="F89" s="88" t="s">
        <v>845</v>
      </c>
      <c r="G89" s="88" t="s">
        <v>768</v>
      </c>
      <c r="H89" s="88" t="s">
        <v>769</v>
      </c>
      <c r="I89" s="88" t="s">
        <v>502</v>
      </c>
      <c r="T89" s="134"/>
      <c r="U89" s="134"/>
      <c r="V89" s="134"/>
      <c r="W89" s="33" t="s">
        <v>325</v>
      </c>
      <c r="X89" s="32" t="s">
        <v>868</v>
      </c>
      <c r="Y89" s="32" t="s">
        <v>871</v>
      </c>
    </row>
    <row r="90" spans="6:25" ht="21" thickBot="1" x14ac:dyDescent="0.3">
      <c r="F90" s="88" t="s">
        <v>846</v>
      </c>
      <c r="G90" s="88" t="s">
        <v>770</v>
      </c>
      <c r="H90" s="88" t="s">
        <v>771</v>
      </c>
      <c r="I90" s="88" t="s">
        <v>502</v>
      </c>
      <c r="T90" s="135"/>
      <c r="U90" s="135"/>
      <c r="V90" s="135"/>
      <c r="W90" s="35" t="s">
        <v>326</v>
      </c>
      <c r="X90" s="32" t="s">
        <v>869</v>
      </c>
      <c r="Y90" s="32" t="s">
        <v>876</v>
      </c>
    </row>
    <row r="91" spans="6:25" ht="15.75" thickBot="1" x14ac:dyDescent="0.3">
      <c r="F91" s="88" t="s">
        <v>847</v>
      </c>
      <c r="G91" s="88" t="s">
        <v>772</v>
      </c>
      <c r="H91" s="88" t="s">
        <v>773</v>
      </c>
      <c r="I91" s="88" t="s">
        <v>502</v>
      </c>
    </row>
    <row r="92" spans="6:25" ht="24" thickBot="1" x14ac:dyDescent="0.3">
      <c r="F92" s="88" t="s">
        <v>848</v>
      </c>
      <c r="G92" s="88" t="s">
        <v>774</v>
      </c>
      <c r="H92" s="88" t="s">
        <v>775</v>
      </c>
      <c r="I92" s="88" t="s">
        <v>502</v>
      </c>
      <c r="T92" s="139" t="s">
        <v>877</v>
      </c>
      <c r="U92" s="140"/>
      <c r="V92" s="140"/>
      <c r="W92" s="140"/>
      <c r="X92" s="141"/>
      <c r="Y92" s="32"/>
    </row>
    <row r="93" spans="6:25" ht="21" thickBot="1" x14ac:dyDescent="0.3">
      <c r="F93" s="88" t="s">
        <v>849</v>
      </c>
      <c r="G93" s="88" t="s">
        <v>776</v>
      </c>
      <c r="H93" s="88" t="s">
        <v>777</v>
      </c>
      <c r="I93" s="88" t="s">
        <v>501</v>
      </c>
      <c r="T93" s="133">
        <v>4</v>
      </c>
      <c r="U93" s="133"/>
      <c r="V93" s="133" t="s">
        <v>878</v>
      </c>
      <c r="W93" s="31" t="s">
        <v>324</v>
      </c>
      <c r="X93" s="32" t="s">
        <v>884</v>
      </c>
      <c r="Y93" s="32" t="s">
        <v>881</v>
      </c>
    </row>
    <row r="94" spans="6:25" ht="21" thickBot="1" x14ac:dyDescent="0.3">
      <c r="F94" s="88" t="s">
        <v>850</v>
      </c>
      <c r="G94" s="88" t="s">
        <v>778</v>
      </c>
      <c r="H94" s="88" t="s">
        <v>779</v>
      </c>
      <c r="I94" s="88" t="s">
        <v>502</v>
      </c>
      <c r="T94" s="134"/>
      <c r="U94" s="134"/>
      <c r="V94" s="134"/>
      <c r="W94" s="33" t="s">
        <v>325</v>
      </c>
      <c r="X94" s="32" t="s">
        <v>885</v>
      </c>
      <c r="Y94" s="32" t="s">
        <v>882</v>
      </c>
    </row>
    <row r="95" spans="6:25" ht="21" thickBot="1" x14ac:dyDescent="0.3">
      <c r="F95" s="88" t="s">
        <v>851</v>
      </c>
      <c r="G95" s="88" t="s">
        <v>780</v>
      </c>
      <c r="H95" s="88" t="s">
        <v>781</v>
      </c>
      <c r="I95" s="88" t="s">
        <v>502</v>
      </c>
      <c r="T95" s="135"/>
      <c r="U95" s="135"/>
      <c r="V95" s="135"/>
      <c r="W95" s="35" t="s">
        <v>326</v>
      </c>
      <c r="X95" s="32" t="s">
        <v>886</v>
      </c>
      <c r="Y95" s="32" t="s">
        <v>883</v>
      </c>
    </row>
    <row r="96" spans="6:25" ht="15.75" thickBot="1" x14ac:dyDescent="0.3">
      <c r="F96" s="88" t="s">
        <v>852</v>
      </c>
      <c r="G96" s="88" t="s">
        <v>782</v>
      </c>
      <c r="H96" s="88" t="s">
        <v>783</v>
      </c>
      <c r="I96" s="88" t="s">
        <v>501</v>
      </c>
    </row>
    <row r="97" spans="6:27" ht="24" thickBot="1" x14ac:dyDescent="0.3">
      <c r="F97" s="88" t="s">
        <v>853</v>
      </c>
      <c r="G97" s="88" t="s">
        <v>784</v>
      </c>
      <c r="H97" s="88" t="s">
        <v>785</v>
      </c>
      <c r="I97" s="88" t="s">
        <v>501</v>
      </c>
      <c r="T97" s="139" t="s">
        <v>893</v>
      </c>
      <c r="U97" s="140"/>
      <c r="V97" s="140"/>
      <c r="W97" s="140"/>
      <c r="X97" s="141"/>
      <c r="Y97" s="32"/>
    </row>
    <row r="98" spans="6:27" ht="21" thickBot="1" x14ac:dyDescent="0.3">
      <c r="F98" s="88" t="s">
        <v>854</v>
      </c>
      <c r="G98" s="88" t="s">
        <v>786</v>
      </c>
      <c r="H98" s="88" t="s">
        <v>787</v>
      </c>
      <c r="I98" s="88" t="s">
        <v>501</v>
      </c>
      <c r="T98" s="133">
        <v>4</v>
      </c>
      <c r="U98" s="133"/>
      <c r="V98" s="133" t="s">
        <v>897</v>
      </c>
      <c r="W98" s="31" t="s">
        <v>324</v>
      </c>
      <c r="X98" s="32" t="s">
        <v>894</v>
      </c>
      <c r="Y98" s="32" t="s">
        <v>901</v>
      </c>
      <c r="AA98" t="s">
        <v>899</v>
      </c>
    </row>
    <row r="99" spans="6:27" ht="21" thickBot="1" x14ac:dyDescent="0.3">
      <c r="F99" s="88" t="s">
        <v>855</v>
      </c>
      <c r="G99" s="88" t="s">
        <v>788</v>
      </c>
      <c r="H99" s="88" t="s">
        <v>789</v>
      </c>
      <c r="I99" s="88" t="s">
        <v>501</v>
      </c>
      <c r="T99" s="134"/>
      <c r="U99" s="134"/>
      <c r="V99" s="134"/>
      <c r="W99" s="33" t="s">
        <v>325</v>
      </c>
      <c r="X99" s="32" t="s">
        <v>895</v>
      </c>
      <c r="Y99" s="32" t="s">
        <v>902</v>
      </c>
      <c r="AA99" t="s">
        <v>900</v>
      </c>
    </row>
    <row r="100" spans="6:27" ht="21" thickBot="1" x14ac:dyDescent="0.3">
      <c r="F100" s="88" t="s">
        <v>856</v>
      </c>
      <c r="G100" s="88" t="s">
        <v>790</v>
      </c>
      <c r="H100" s="88" t="s">
        <v>791</v>
      </c>
      <c r="I100" s="88" t="s">
        <v>501</v>
      </c>
      <c r="T100" s="135"/>
      <c r="U100" s="135"/>
      <c r="V100" s="135"/>
      <c r="W100" s="35" t="s">
        <v>326</v>
      </c>
      <c r="X100" s="32" t="s">
        <v>896</v>
      </c>
      <c r="Y100" s="32" t="s">
        <v>903</v>
      </c>
      <c r="AA100" t="s">
        <v>898</v>
      </c>
    </row>
    <row r="101" spans="6:27" x14ac:dyDescent="0.25">
      <c r="F101" s="88" t="s">
        <v>857</v>
      </c>
      <c r="G101" s="88" t="s">
        <v>792</v>
      </c>
      <c r="H101" s="88" t="s">
        <v>793</v>
      </c>
      <c r="I101" s="88" t="s">
        <v>502</v>
      </c>
    </row>
    <row r="102" spans="6:27" ht="15.75" thickBot="1" x14ac:dyDescent="0.3">
      <c r="F102" s="88" t="s">
        <v>858</v>
      </c>
      <c r="G102" s="88" t="s">
        <v>794</v>
      </c>
      <c r="H102" s="88" t="s">
        <v>795</v>
      </c>
      <c r="I102" s="88" t="s">
        <v>501</v>
      </c>
    </row>
    <row r="103" spans="6:27" ht="24" thickBot="1" x14ac:dyDescent="0.3">
      <c r="F103" s="88" t="s">
        <v>859</v>
      </c>
      <c r="G103" s="88" t="s">
        <v>796</v>
      </c>
      <c r="H103" s="88" t="s">
        <v>797</v>
      </c>
      <c r="I103" s="88" t="s">
        <v>501</v>
      </c>
      <c r="T103" s="139" t="s">
        <v>908</v>
      </c>
      <c r="U103" s="140"/>
      <c r="V103" s="140"/>
      <c r="W103" s="140"/>
      <c r="X103" s="141"/>
      <c r="Y103" s="32"/>
    </row>
    <row r="104" spans="6:27" ht="21" thickBot="1" x14ac:dyDescent="0.3">
      <c r="F104" s="88" t="s">
        <v>860</v>
      </c>
      <c r="G104" s="88" t="s">
        <v>798</v>
      </c>
      <c r="H104" s="88" t="s">
        <v>799</v>
      </c>
      <c r="I104" s="88" t="s">
        <v>503</v>
      </c>
      <c r="T104" s="133">
        <v>4</v>
      </c>
      <c r="U104" s="133"/>
      <c r="V104" s="133" t="s">
        <v>911</v>
      </c>
      <c r="W104" s="31" t="s">
        <v>325</v>
      </c>
      <c r="X104" s="32" t="s">
        <v>909</v>
      </c>
      <c r="Y104" s="32" t="s">
        <v>912</v>
      </c>
    </row>
    <row r="105" spans="6:27" ht="21" thickBot="1" x14ac:dyDescent="0.3">
      <c r="F105" s="88" t="s">
        <v>861</v>
      </c>
      <c r="G105" s="88" t="s">
        <v>800</v>
      </c>
      <c r="H105" s="88" t="s">
        <v>801</v>
      </c>
      <c r="I105" s="88" t="s">
        <v>502</v>
      </c>
      <c r="T105" s="134"/>
      <c r="U105" s="134"/>
      <c r="V105" s="134"/>
      <c r="W105" s="33" t="s">
        <v>326</v>
      </c>
      <c r="X105" s="32" t="s">
        <v>910</v>
      </c>
      <c r="Y105" s="32" t="s">
        <v>915</v>
      </c>
    </row>
    <row r="106" spans="6:27" ht="21" thickBot="1" x14ac:dyDescent="0.3">
      <c r="F106" s="88" t="s">
        <v>862</v>
      </c>
      <c r="G106" s="88" t="s">
        <v>802</v>
      </c>
      <c r="H106" s="88" t="s">
        <v>803</v>
      </c>
      <c r="I106" s="88" t="s">
        <v>502</v>
      </c>
      <c r="T106" s="135"/>
      <c r="U106" s="135"/>
      <c r="V106" s="135"/>
      <c r="W106" s="35" t="s">
        <v>336</v>
      </c>
      <c r="X106" s="32"/>
      <c r="Y106" s="32"/>
    </row>
    <row r="107" spans="6:27" ht="15.75" thickBot="1" x14ac:dyDescent="0.3">
      <c r="F107" s="88" t="s">
        <v>863</v>
      </c>
      <c r="G107" s="88" t="s">
        <v>804</v>
      </c>
      <c r="H107" s="88" t="s">
        <v>805</v>
      </c>
      <c r="I107" s="88" t="s">
        <v>502</v>
      </c>
    </row>
    <row r="108" spans="6:27" ht="24" thickBot="1" x14ac:dyDescent="0.3">
      <c r="F108" s="88" t="s">
        <v>864</v>
      </c>
      <c r="G108" s="88" t="s">
        <v>806</v>
      </c>
      <c r="H108" s="88" t="s">
        <v>807</v>
      </c>
      <c r="I108" s="88" t="s">
        <v>502</v>
      </c>
      <c r="T108" s="139" t="s">
        <v>908</v>
      </c>
      <c r="U108" s="140"/>
      <c r="V108" s="140"/>
      <c r="W108" s="140"/>
      <c r="X108" s="141"/>
      <c r="Y108" s="32"/>
    </row>
    <row r="109" spans="6:27" ht="21" thickBot="1" x14ac:dyDescent="0.3">
      <c r="F109" s="88" t="s">
        <v>865</v>
      </c>
      <c r="G109" s="88" t="s">
        <v>808</v>
      </c>
      <c r="H109" s="88" t="s">
        <v>809</v>
      </c>
      <c r="I109" s="88" t="s">
        <v>502</v>
      </c>
      <c r="T109" s="133">
        <v>4</v>
      </c>
      <c r="U109" s="133"/>
      <c r="V109" s="133" t="s">
        <v>920</v>
      </c>
      <c r="W109" s="31" t="s">
        <v>325</v>
      </c>
      <c r="X109" s="32" t="s">
        <v>916</v>
      </c>
      <c r="Y109" s="32" t="s">
        <v>918</v>
      </c>
    </row>
    <row r="110" spans="6:27" ht="21" thickBot="1" x14ac:dyDescent="0.3">
      <c r="F110" s="88" t="s">
        <v>874</v>
      </c>
      <c r="G110" s="88" t="s">
        <v>872</v>
      </c>
      <c r="H110" s="88" t="s">
        <v>873</v>
      </c>
      <c r="I110" s="88" t="s">
        <v>501</v>
      </c>
      <c r="T110" s="134"/>
      <c r="U110" s="134"/>
      <c r="V110" s="134"/>
      <c r="W110" s="33" t="s">
        <v>326</v>
      </c>
      <c r="X110" s="32" t="s">
        <v>917</v>
      </c>
      <c r="Y110" s="32" t="s">
        <v>919</v>
      </c>
    </row>
    <row r="111" spans="6:27" ht="21" thickBot="1" x14ac:dyDescent="0.3">
      <c r="F111" s="88" t="s">
        <v>924</v>
      </c>
      <c r="G111" s="88" t="s">
        <v>913</v>
      </c>
      <c r="H111" s="88" t="s">
        <v>914</v>
      </c>
      <c r="I111" s="88" t="s">
        <v>501</v>
      </c>
      <c r="T111" s="135"/>
      <c r="U111" s="135"/>
      <c r="V111" s="135"/>
      <c r="W111" s="35" t="s">
        <v>336</v>
      </c>
      <c r="X111" s="32"/>
      <c r="Y111" s="32"/>
    </row>
    <row r="112" spans="6:27" x14ac:dyDescent="0.25">
      <c r="F112" s="88" t="s">
        <v>923</v>
      </c>
      <c r="G112" s="88" t="s">
        <v>872</v>
      </c>
      <c r="H112" s="88" t="s">
        <v>873</v>
      </c>
      <c r="I112" s="88" t="s">
        <v>501</v>
      </c>
    </row>
    <row r="113" spans="6:9" x14ac:dyDescent="0.25">
      <c r="F113" s="88"/>
      <c r="G113" s="88"/>
      <c r="H113" s="88"/>
      <c r="I113" s="88"/>
    </row>
    <row r="114" spans="6:9" x14ac:dyDescent="0.25">
      <c r="F114" s="88"/>
      <c r="G114" s="88"/>
      <c r="H114" s="88"/>
      <c r="I114" s="88"/>
    </row>
    <row r="115" spans="6:9" x14ac:dyDescent="0.25">
      <c r="F115" s="88"/>
      <c r="G115" s="88"/>
      <c r="H115" s="88"/>
      <c r="I115" s="88"/>
    </row>
    <row r="116" spans="6:9" x14ac:dyDescent="0.25">
      <c r="F116" s="88"/>
      <c r="G116" s="88"/>
      <c r="H116" s="88"/>
      <c r="I116" s="88"/>
    </row>
    <row r="117" spans="6:9" x14ac:dyDescent="0.25">
      <c r="F117" s="88"/>
      <c r="G117" s="88"/>
      <c r="H117" s="88"/>
      <c r="I117" s="88"/>
    </row>
    <row r="118" spans="6:9" x14ac:dyDescent="0.25">
      <c r="F118" s="88"/>
      <c r="G118" s="88"/>
      <c r="H118" s="88"/>
      <c r="I118" s="88"/>
    </row>
    <row r="119" spans="6:9" x14ac:dyDescent="0.25">
      <c r="F119" s="88"/>
      <c r="G119" s="88"/>
      <c r="H119" s="88"/>
      <c r="I119" s="88"/>
    </row>
    <row r="120" spans="6:9" x14ac:dyDescent="0.25">
      <c r="F120" s="88"/>
      <c r="G120" s="88"/>
      <c r="H120" s="88"/>
      <c r="I120" s="88"/>
    </row>
    <row r="121" spans="6:9" x14ac:dyDescent="0.25">
      <c r="F121" s="88"/>
      <c r="G121" s="88"/>
      <c r="H121" s="88"/>
      <c r="I121" s="88"/>
    </row>
    <row r="122" spans="6:9" x14ac:dyDescent="0.25">
      <c r="F122" s="88"/>
      <c r="G122" s="88"/>
      <c r="H122" s="88"/>
      <c r="I122" s="88"/>
    </row>
    <row r="123" spans="6:9" x14ac:dyDescent="0.25">
      <c r="F123" s="88"/>
      <c r="G123" s="88"/>
      <c r="H123" s="88"/>
      <c r="I123" s="88"/>
    </row>
    <row r="124" spans="6:9" x14ac:dyDescent="0.25">
      <c r="F124" s="88"/>
      <c r="G124" s="88"/>
      <c r="H124" s="88"/>
      <c r="I124" s="88"/>
    </row>
    <row r="125" spans="6:9" x14ac:dyDescent="0.25">
      <c r="F125" s="88"/>
      <c r="G125" s="88"/>
      <c r="H125" s="88"/>
      <c r="I125" s="88"/>
    </row>
    <row r="126" spans="6:9" x14ac:dyDescent="0.25">
      <c r="F126" s="88"/>
      <c r="G126" s="88"/>
      <c r="H126" s="88"/>
      <c r="I126" s="88"/>
    </row>
    <row r="127" spans="6:9" x14ac:dyDescent="0.25">
      <c r="F127" s="88"/>
      <c r="G127" s="88"/>
      <c r="H127" s="88"/>
      <c r="I127" s="88"/>
    </row>
    <row r="128" spans="6:9" x14ac:dyDescent="0.25">
      <c r="F128" s="88"/>
      <c r="G128" s="88"/>
      <c r="H128" s="88"/>
      <c r="I128" s="88"/>
    </row>
    <row r="129" spans="6:9" x14ac:dyDescent="0.25">
      <c r="F129" s="88"/>
      <c r="G129" s="88"/>
      <c r="H129" s="88"/>
      <c r="I129" s="88"/>
    </row>
    <row r="130" spans="6:9" x14ac:dyDescent="0.25">
      <c r="F130" s="88"/>
      <c r="G130" s="88"/>
      <c r="H130" s="88"/>
      <c r="I130" s="88"/>
    </row>
    <row r="131" spans="6:9" x14ac:dyDescent="0.25">
      <c r="F131" s="88"/>
      <c r="G131" s="88"/>
      <c r="H131" s="88"/>
      <c r="I131" s="88"/>
    </row>
    <row r="132" spans="6:9" x14ac:dyDescent="0.25">
      <c r="F132" s="88"/>
      <c r="G132" s="88"/>
      <c r="H132" s="88"/>
      <c r="I132" s="88"/>
    </row>
    <row r="133" spans="6:9" x14ac:dyDescent="0.25">
      <c r="F133" s="88"/>
      <c r="G133" s="88"/>
      <c r="H133" s="88"/>
      <c r="I133" s="88"/>
    </row>
    <row r="134" spans="6:9" x14ac:dyDescent="0.25">
      <c r="F134" s="88"/>
      <c r="G134" s="88"/>
      <c r="H134" s="88"/>
      <c r="I134" s="88"/>
    </row>
    <row r="135" spans="6:9" x14ac:dyDescent="0.25">
      <c r="F135" s="88"/>
      <c r="G135" s="88"/>
      <c r="H135" s="88"/>
      <c r="I135" s="88"/>
    </row>
    <row r="136" spans="6:9" x14ac:dyDescent="0.25">
      <c r="F136" s="88"/>
      <c r="G136" s="88"/>
      <c r="H136" s="88"/>
      <c r="I136" s="88"/>
    </row>
    <row r="137" spans="6:9" x14ac:dyDescent="0.25">
      <c r="F137" s="88"/>
      <c r="G137" s="88"/>
      <c r="H137" s="88"/>
      <c r="I137" s="88"/>
    </row>
    <row r="138" spans="6:9" x14ac:dyDescent="0.25">
      <c r="F138" s="88"/>
      <c r="G138" s="88"/>
      <c r="H138" s="88"/>
      <c r="I138" s="88"/>
    </row>
    <row r="139" spans="6:9" x14ac:dyDescent="0.25">
      <c r="F139" s="88"/>
      <c r="G139" s="88"/>
      <c r="H139" s="88"/>
      <c r="I139" s="88"/>
    </row>
    <row r="140" spans="6:9" x14ac:dyDescent="0.25">
      <c r="F140" s="88"/>
      <c r="G140" s="88"/>
      <c r="H140" s="88"/>
      <c r="I140" s="88"/>
    </row>
    <row r="141" spans="6:9" x14ac:dyDescent="0.25">
      <c r="F141" s="88"/>
      <c r="G141" s="88"/>
      <c r="H141" s="88"/>
      <c r="I141" s="88"/>
    </row>
    <row r="142" spans="6:9" x14ac:dyDescent="0.25">
      <c r="F142" s="88"/>
      <c r="G142" s="88"/>
      <c r="H142" s="88"/>
      <c r="I142" s="88"/>
    </row>
    <row r="143" spans="6:9" x14ac:dyDescent="0.25">
      <c r="F143" s="88"/>
      <c r="G143" s="88"/>
      <c r="H143" s="88"/>
      <c r="I143" s="88"/>
    </row>
    <row r="144" spans="6:9" x14ac:dyDescent="0.25">
      <c r="F144" s="88"/>
      <c r="G144" s="88"/>
      <c r="H144" s="88"/>
      <c r="I144" s="88"/>
    </row>
    <row r="145" spans="6:9" x14ac:dyDescent="0.25">
      <c r="F145" s="88"/>
      <c r="G145" s="88"/>
      <c r="H145" s="88"/>
      <c r="I145" s="88"/>
    </row>
    <row r="146" spans="6:9" x14ac:dyDescent="0.25">
      <c r="F146" s="88"/>
      <c r="G146" s="88"/>
      <c r="H146" s="88"/>
      <c r="I146" s="88"/>
    </row>
    <row r="147" spans="6:9" x14ac:dyDescent="0.25">
      <c r="F147" s="88"/>
      <c r="G147" s="88"/>
      <c r="H147" s="88"/>
      <c r="I147" s="88"/>
    </row>
    <row r="148" spans="6:9" x14ac:dyDescent="0.25">
      <c r="F148" s="88"/>
      <c r="G148" s="88"/>
      <c r="H148" s="88"/>
      <c r="I148" s="88"/>
    </row>
    <row r="149" spans="6:9" x14ac:dyDescent="0.25">
      <c r="F149" s="88"/>
      <c r="G149" s="88"/>
      <c r="H149" s="88"/>
      <c r="I149" s="88"/>
    </row>
    <row r="150" spans="6:9" x14ac:dyDescent="0.25">
      <c r="F150" s="88"/>
      <c r="G150" s="88"/>
      <c r="H150" s="88"/>
      <c r="I150" s="88"/>
    </row>
    <row r="151" spans="6:9" x14ac:dyDescent="0.25">
      <c r="F151" s="88"/>
      <c r="G151" s="88"/>
      <c r="H151" s="88"/>
      <c r="I151" s="88"/>
    </row>
    <row r="152" spans="6:9" x14ac:dyDescent="0.25">
      <c r="F152" s="88"/>
      <c r="G152" s="88"/>
      <c r="H152" s="88"/>
      <c r="I152" s="88"/>
    </row>
    <row r="153" spans="6:9" x14ac:dyDescent="0.25">
      <c r="F153" s="88"/>
      <c r="G153" s="88"/>
      <c r="H153" s="88"/>
      <c r="I153" s="88"/>
    </row>
    <row r="154" spans="6:9" x14ac:dyDescent="0.25">
      <c r="F154" s="88"/>
      <c r="G154" s="88"/>
      <c r="H154" s="88"/>
      <c r="I154" s="88"/>
    </row>
    <row r="155" spans="6:9" x14ac:dyDescent="0.25">
      <c r="F155" s="88"/>
      <c r="G155" s="88"/>
      <c r="H155" s="88"/>
      <c r="I155" s="88"/>
    </row>
    <row r="156" spans="6:9" x14ac:dyDescent="0.25">
      <c r="F156" s="88"/>
      <c r="G156" s="88"/>
      <c r="H156" s="88"/>
      <c r="I156" s="88"/>
    </row>
    <row r="157" spans="6:9" x14ac:dyDescent="0.25">
      <c r="F157" s="88"/>
      <c r="G157" s="88"/>
      <c r="H157" s="88"/>
      <c r="I157" s="88"/>
    </row>
    <row r="158" spans="6:9" x14ac:dyDescent="0.25">
      <c r="F158" s="88"/>
      <c r="G158" s="88"/>
      <c r="H158" s="88"/>
      <c r="I158" s="88"/>
    </row>
    <row r="159" spans="6:9" x14ac:dyDescent="0.25">
      <c r="F159" s="88"/>
      <c r="G159" s="88"/>
      <c r="H159" s="88"/>
      <c r="I159" s="88"/>
    </row>
    <row r="160" spans="6:9" x14ac:dyDescent="0.25">
      <c r="F160" s="88"/>
      <c r="G160" s="88"/>
      <c r="H160" s="88"/>
      <c r="I160" s="88"/>
    </row>
    <row r="161" spans="6:9" x14ac:dyDescent="0.25">
      <c r="F161" s="88"/>
      <c r="G161" s="88"/>
      <c r="H161" s="88"/>
      <c r="I161" s="88"/>
    </row>
    <row r="162" spans="6:9" x14ac:dyDescent="0.25">
      <c r="F162" s="88"/>
      <c r="G162" s="88"/>
      <c r="H162" s="88"/>
      <c r="I162" s="88"/>
    </row>
    <row r="163" spans="6:9" x14ac:dyDescent="0.25">
      <c r="F163" s="88"/>
      <c r="G163" s="88"/>
      <c r="H163" s="88"/>
      <c r="I163" s="88"/>
    </row>
    <row r="164" spans="6:9" x14ac:dyDescent="0.25">
      <c r="F164" s="88"/>
      <c r="G164" s="88"/>
      <c r="H164" s="88"/>
      <c r="I164" s="88"/>
    </row>
    <row r="165" spans="6:9" x14ac:dyDescent="0.25">
      <c r="F165" s="88"/>
      <c r="G165" s="88"/>
      <c r="H165" s="88"/>
      <c r="I165" s="88"/>
    </row>
    <row r="166" spans="6:9" x14ac:dyDescent="0.25">
      <c r="F166" s="88"/>
      <c r="G166" s="88"/>
      <c r="H166" s="88"/>
      <c r="I166" s="88"/>
    </row>
    <row r="167" spans="6:9" x14ac:dyDescent="0.25">
      <c r="F167" s="88"/>
      <c r="G167" s="88"/>
      <c r="H167" s="88"/>
      <c r="I167" s="88"/>
    </row>
    <row r="168" spans="6:9" x14ac:dyDescent="0.25">
      <c r="F168" s="88"/>
      <c r="G168" s="88"/>
      <c r="H168" s="88"/>
      <c r="I168" s="88"/>
    </row>
    <row r="169" spans="6:9" x14ac:dyDescent="0.25">
      <c r="F169" s="88"/>
      <c r="G169" s="88"/>
      <c r="H169" s="88"/>
      <c r="I169" s="88"/>
    </row>
    <row r="170" spans="6:9" x14ac:dyDescent="0.25">
      <c r="F170" s="88"/>
      <c r="G170" s="88"/>
      <c r="H170" s="88"/>
      <c r="I170" s="88"/>
    </row>
    <row r="171" spans="6:9" x14ac:dyDescent="0.25">
      <c r="F171" s="88"/>
      <c r="G171" s="88"/>
      <c r="H171" s="88"/>
      <c r="I171" s="88"/>
    </row>
    <row r="172" spans="6:9" x14ac:dyDescent="0.25">
      <c r="F172" s="88"/>
      <c r="G172" s="88"/>
      <c r="H172" s="88"/>
      <c r="I172" s="88"/>
    </row>
    <row r="173" spans="6:9" x14ac:dyDescent="0.25">
      <c r="F173" s="88"/>
      <c r="G173" s="88"/>
      <c r="H173" s="88"/>
      <c r="I173" s="88"/>
    </row>
    <row r="174" spans="6:9" x14ac:dyDescent="0.25">
      <c r="F174" s="88"/>
      <c r="G174" s="88"/>
      <c r="H174" s="88"/>
      <c r="I174" s="88"/>
    </row>
    <row r="175" spans="6:9" x14ac:dyDescent="0.25">
      <c r="F175" s="88"/>
      <c r="G175" s="88"/>
      <c r="H175" s="88"/>
      <c r="I175" s="88"/>
    </row>
    <row r="176" spans="6:9" x14ac:dyDescent="0.25">
      <c r="F176" s="88"/>
      <c r="G176" s="88"/>
      <c r="H176" s="88"/>
      <c r="I176" s="88"/>
    </row>
    <row r="177" spans="6:9" x14ac:dyDescent="0.25">
      <c r="F177" s="88"/>
      <c r="G177" s="88"/>
      <c r="H177" s="88"/>
      <c r="I177" s="88"/>
    </row>
    <row r="178" spans="6:9" x14ac:dyDescent="0.25">
      <c r="F178" s="88"/>
      <c r="G178" s="88"/>
      <c r="H178" s="88"/>
      <c r="I178" s="88"/>
    </row>
    <row r="179" spans="6:9" x14ac:dyDescent="0.25">
      <c r="F179" s="88"/>
      <c r="G179" s="88"/>
      <c r="H179" s="88"/>
      <c r="I179" s="88"/>
    </row>
    <row r="180" spans="6:9" x14ac:dyDescent="0.25">
      <c r="F180" s="88"/>
      <c r="G180" s="88"/>
      <c r="H180" s="88"/>
      <c r="I180" s="88"/>
    </row>
    <row r="181" spans="6:9" x14ac:dyDescent="0.25">
      <c r="F181" s="88"/>
      <c r="G181" s="88"/>
      <c r="H181" s="88"/>
      <c r="I181" s="88"/>
    </row>
    <row r="182" spans="6:9" x14ac:dyDescent="0.25">
      <c r="F182" s="88"/>
      <c r="G182" s="88"/>
      <c r="H182" s="88"/>
      <c r="I182" s="88"/>
    </row>
    <row r="183" spans="6:9" x14ac:dyDescent="0.25">
      <c r="F183" s="88"/>
      <c r="G183" s="88"/>
      <c r="H183" s="88"/>
      <c r="I183" s="88"/>
    </row>
    <row r="184" spans="6:9" x14ac:dyDescent="0.25">
      <c r="F184" s="88"/>
      <c r="G184" s="88"/>
      <c r="H184" s="88"/>
      <c r="I184" s="88"/>
    </row>
    <row r="185" spans="6:9" x14ac:dyDescent="0.25">
      <c r="F185" s="88"/>
      <c r="G185" s="88"/>
      <c r="H185" s="88"/>
      <c r="I185" s="88"/>
    </row>
    <row r="186" spans="6:9" x14ac:dyDescent="0.25">
      <c r="F186" s="88"/>
      <c r="G186" s="88"/>
      <c r="H186" s="88"/>
      <c r="I186" s="88"/>
    </row>
    <row r="187" spans="6:9" x14ac:dyDescent="0.25">
      <c r="F187" s="88"/>
      <c r="G187" s="88"/>
      <c r="H187" s="88"/>
      <c r="I187" s="88"/>
    </row>
    <row r="188" spans="6:9" x14ac:dyDescent="0.25">
      <c r="F188" s="88"/>
      <c r="G188" s="88"/>
      <c r="H188" s="88"/>
      <c r="I188" s="88"/>
    </row>
    <row r="189" spans="6:9" x14ac:dyDescent="0.25">
      <c r="F189" s="88"/>
      <c r="G189" s="88"/>
      <c r="H189" s="88"/>
      <c r="I189" s="88"/>
    </row>
    <row r="190" spans="6:9" x14ac:dyDescent="0.25">
      <c r="F190" s="88"/>
      <c r="G190" s="88"/>
      <c r="H190" s="88"/>
      <c r="I190" s="88"/>
    </row>
    <row r="191" spans="6:9" x14ac:dyDescent="0.25">
      <c r="F191" s="88"/>
      <c r="G191" s="88"/>
      <c r="H191" s="88"/>
      <c r="I191" s="88"/>
    </row>
    <row r="192" spans="6:9" x14ac:dyDescent="0.25">
      <c r="F192" s="88"/>
      <c r="G192" s="88"/>
      <c r="H192" s="88"/>
      <c r="I192" s="88"/>
    </row>
    <row r="193" spans="6:9" x14ac:dyDescent="0.25">
      <c r="F193" s="88"/>
      <c r="G193" s="88"/>
      <c r="H193" s="88"/>
      <c r="I193" s="88"/>
    </row>
    <row r="194" spans="6:9" x14ac:dyDescent="0.25">
      <c r="F194" s="88"/>
      <c r="G194" s="88"/>
      <c r="H194" s="88"/>
      <c r="I194" s="88"/>
    </row>
    <row r="195" spans="6:9" x14ac:dyDescent="0.25">
      <c r="F195" s="88"/>
      <c r="G195" s="88"/>
      <c r="H195" s="88"/>
      <c r="I195" s="88"/>
    </row>
    <row r="196" spans="6:9" x14ac:dyDescent="0.25">
      <c r="F196" s="88"/>
      <c r="G196" s="88"/>
      <c r="H196" s="88"/>
      <c r="I196" s="88"/>
    </row>
    <row r="197" spans="6:9" x14ac:dyDescent="0.25">
      <c r="F197" s="88"/>
      <c r="G197" s="88"/>
      <c r="H197" s="88"/>
      <c r="I197" s="88"/>
    </row>
    <row r="198" spans="6:9" x14ac:dyDescent="0.25">
      <c r="F198" s="88"/>
      <c r="G198" s="88"/>
      <c r="H198" s="88"/>
      <c r="I198" s="88"/>
    </row>
    <row r="199" spans="6:9" x14ac:dyDescent="0.25">
      <c r="F199" s="88"/>
      <c r="G199" s="88"/>
      <c r="H199" s="88"/>
      <c r="I199" s="88"/>
    </row>
    <row r="200" spans="6:9" x14ac:dyDescent="0.25">
      <c r="F200" s="88"/>
      <c r="G200" s="88"/>
      <c r="H200" s="88"/>
      <c r="I200" s="88"/>
    </row>
    <row r="201" spans="6:9" x14ac:dyDescent="0.25">
      <c r="F201" s="88"/>
      <c r="G201" s="88"/>
      <c r="H201" s="88"/>
      <c r="I201" s="88"/>
    </row>
    <row r="202" spans="6:9" x14ac:dyDescent="0.25">
      <c r="F202" s="88"/>
      <c r="G202" s="88"/>
      <c r="H202" s="88"/>
      <c r="I202" s="88"/>
    </row>
    <row r="203" spans="6:9" x14ac:dyDescent="0.25">
      <c r="F203" s="88"/>
      <c r="G203" s="88"/>
      <c r="H203" s="88"/>
      <c r="I203" s="88"/>
    </row>
    <row r="204" spans="6:9" x14ac:dyDescent="0.25">
      <c r="F204" s="88"/>
      <c r="G204" s="88"/>
      <c r="H204" s="88"/>
      <c r="I204" s="88"/>
    </row>
    <row r="205" spans="6:9" x14ac:dyDescent="0.25">
      <c r="F205" s="88"/>
      <c r="G205" s="88"/>
      <c r="H205" s="88"/>
      <c r="I205" s="88"/>
    </row>
    <row r="206" spans="6:9" x14ac:dyDescent="0.25">
      <c r="F206" s="88"/>
      <c r="G206" s="88"/>
      <c r="H206" s="88"/>
      <c r="I206" s="88"/>
    </row>
    <row r="207" spans="6:9" x14ac:dyDescent="0.25">
      <c r="F207" s="88"/>
      <c r="G207" s="88"/>
      <c r="H207" s="88"/>
      <c r="I207" s="88"/>
    </row>
    <row r="208" spans="6:9" x14ac:dyDescent="0.25">
      <c r="F208" s="88"/>
      <c r="G208" s="88"/>
      <c r="H208" s="88"/>
      <c r="I208" s="88"/>
    </row>
    <row r="209" spans="6:9" x14ac:dyDescent="0.25">
      <c r="F209" s="88"/>
      <c r="G209" s="88"/>
      <c r="H209" s="88"/>
      <c r="I209" s="88"/>
    </row>
    <row r="210" spans="6:9" x14ac:dyDescent="0.25">
      <c r="F210" s="88"/>
      <c r="G210" s="88"/>
      <c r="H210" s="88"/>
      <c r="I210" s="88"/>
    </row>
    <row r="211" spans="6:9" x14ac:dyDescent="0.25">
      <c r="F211" s="88"/>
      <c r="G211" s="88"/>
      <c r="H211" s="88"/>
      <c r="I211" s="88"/>
    </row>
    <row r="212" spans="6:9" x14ac:dyDescent="0.25">
      <c r="F212" s="88"/>
      <c r="G212" s="88"/>
      <c r="H212" s="88"/>
      <c r="I212" s="88"/>
    </row>
    <row r="213" spans="6:9" x14ac:dyDescent="0.25">
      <c r="F213" s="88"/>
      <c r="G213" s="88"/>
      <c r="H213" s="88"/>
      <c r="I213" s="88"/>
    </row>
    <row r="214" spans="6:9" x14ac:dyDescent="0.25">
      <c r="F214" s="88"/>
      <c r="G214" s="88"/>
      <c r="H214" s="88"/>
      <c r="I214" s="88"/>
    </row>
    <row r="215" spans="6:9" x14ac:dyDescent="0.25">
      <c r="F215" s="88"/>
      <c r="G215" s="88"/>
      <c r="H215" s="88"/>
      <c r="I215" s="88"/>
    </row>
    <row r="216" spans="6:9" x14ac:dyDescent="0.25">
      <c r="F216" s="88"/>
      <c r="G216" s="88"/>
      <c r="H216" s="88"/>
      <c r="I216" s="88"/>
    </row>
    <row r="217" spans="6:9" x14ac:dyDescent="0.25">
      <c r="F217" s="88"/>
      <c r="G217" s="88"/>
      <c r="H217" s="88"/>
      <c r="I217" s="88"/>
    </row>
    <row r="218" spans="6:9" x14ac:dyDescent="0.25">
      <c r="F218" s="88"/>
      <c r="G218" s="88"/>
      <c r="H218" s="88"/>
      <c r="I218" s="88"/>
    </row>
    <row r="219" spans="6:9" x14ac:dyDescent="0.25">
      <c r="F219" s="88"/>
      <c r="G219" s="88"/>
      <c r="H219" s="88"/>
      <c r="I219" s="88"/>
    </row>
    <row r="220" spans="6:9" x14ac:dyDescent="0.25">
      <c r="F220" s="88"/>
      <c r="G220" s="88"/>
      <c r="H220" s="88"/>
      <c r="I220" s="88"/>
    </row>
    <row r="221" spans="6:9" x14ac:dyDescent="0.25">
      <c r="F221" s="88"/>
      <c r="G221" s="88"/>
      <c r="H221" s="88"/>
      <c r="I221" s="88"/>
    </row>
    <row r="222" spans="6:9" x14ac:dyDescent="0.25">
      <c r="F222" s="88"/>
      <c r="G222" s="88"/>
      <c r="H222" s="88"/>
      <c r="I222" s="88"/>
    </row>
    <row r="223" spans="6:9" x14ac:dyDescent="0.25">
      <c r="F223" s="88"/>
      <c r="G223" s="88"/>
      <c r="H223" s="88"/>
      <c r="I223" s="88"/>
    </row>
    <row r="224" spans="6:9" x14ac:dyDescent="0.25">
      <c r="F224" s="88"/>
      <c r="G224" s="88"/>
      <c r="H224" s="88"/>
      <c r="I224" s="88"/>
    </row>
    <row r="225" spans="6:9" x14ac:dyDescent="0.25">
      <c r="F225" s="88"/>
      <c r="G225" s="88"/>
      <c r="H225" s="88"/>
      <c r="I225" s="88"/>
    </row>
    <row r="226" spans="6:9" x14ac:dyDescent="0.25">
      <c r="F226" s="88"/>
      <c r="G226" s="88"/>
      <c r="H226" s="88"/>
      <c r="I226" s="88"/>
    </row>
    <row r="227" spans="6:9" x14ac:dyDescent="0.25">
      <c r="F227" s="88"/>
      <c r="G227" s="88"/>
      <c r="H227" s="88"/>
      <c r="I227" s="88"/>
    </row>
    <row r="228" spans="6:9" x14ac:dyDescent="0.25">
      <c r="F228" s="88"/>
      <c r="G228" s="88"/>
      <c r="H228" s="88"/>
      <c r="I228" s="88"/>
    </row>
    <row r="229" spans="6:9" x14ac:dyDescent="0.25">
      <c r="F229" s="88"/>
      <c r="G229" s="88"/>
      <c r="H229" s="88"/>
      <c r="I229" s="88"/>
    </row>
    <row r="230" spans="6:9" x14ac:dyDescent="0.25">
      <c r="F230" s="88"/>
      <c r="G230" s="88"/>
      <c r="H230" s="88"/>
      <c r="I230" s="88"/>
    </row>
    <row r="231" spans="6:9" x14ac:dyDescent="0.25">
      <c r="F231" s="88"/>
      <c r="G231" s="88"/>
      <c r="H231" s="88"/>
      <c r="I231" s="88"/>
    </row>
    <row r="232" spans="6:9" x14ac:dyDescent="0.25">
      <c r="F232" s="88"/>
      <c r="G232" s="88"/>
      <c r="H232" s="88"/>
      <c r="I232" s="88"/>
    </row>
    <row r="233" spans="6:9" x14ac:dyDescent="0.25">
      <c r="F233" s="88"/>
      <c r="G233" s="88"/>
      <c r="H233" s="88"/>
      <c r="I233" s="88"/>
    </row>
    <row r="234" spans="6:9" x14ac:dyDescent="0.25">
      <c r="F234" s="88"/>
      <c r="G234" s="88"/>
      <c r="H234" s="88"/>
      <c r="I234" s="88"/>
    </row>
    <row r="235" spans="6:9" x14ac:dyDescent="0.25">
      <c r="F235" s="88"/>
      <c r="G235" s="88"/>
      <c r="H235" s="88"/>
      <c r="I235" s="88"/>
    </row>
    <row r="236" spans="6:9" x14ac:dyDescent="0.25">
      <c r="F236" s="88"/>
      <c r="G236" s="88"/>
      <c r="H236" s="88"/>
      <c r="I236" s="88"/>
    </row>
    <row r="237" spans="6:9" x14ac:dyDescent="0.25">
      <c r="F237" s="88"/>
      <c r="G237" s="88"/>
      <c r="H237" s="88"/>
      <c r="I237" s="88"/>
    </row>
    <row r="238" spans="6:9" x14ac:dyDescent="0.25">
      <c r="F238" s="88"/>
      <c r="G238" s="88"/>
      <c r="H238" s="88"/>
      <c r="I238" s="88"/>
    </row>
    <row r="239" spans="6:9" x14ac:dyDescent="0.25">
      <c r="F239" s="88"/>
      <c r="G239" s="88"/>
      <c r="H239" s="88"/>
      <c r="I239" s="88"/>
    </row>
    <row r="240" spans="6:9" x14ac:dyDescent="0.25">
      <c r="F240" s="88"/>
      <c r="G240" s="88"/>
      <c r="H240" s="88"/>
      <c r="I240" s="88"/>
    </row>
    <row r="241" spans="6:9" x14ac:dyDescent="0.25">
      <c r="F241" s="88"/>
      <c r="G241" s="88"/>
      <c r="H241" s="88"/>
      <c r="I241" s="88"/>
    </row>
    <row r="242" spans="6:9" x14ac:dyDescent="0.25">
      <c r="F242" s="88"/>
      <c r="G242" s="88"/>
      <c r="H242" s="88"/>
      <c r="I242" s="88"/>
    </row>
    <row r="243" spans="6:9" x14ac:dyDescent="0.25">
      <c r="F243" s="88"/>
      <c r="G243" s="88"/>
      <c r="H243" s="88"/>
      <c r="I243" s="88"/>
    </row>
    <row r="244" spans="6:9" x14ac:dyDescent="0.25">
      <c r="F244" s="88"/>
      <c r="G244" s="88"/>
      <c r="H244" s="88"/>
      <c r="I244" s="88"/>
    </row>
    <row r="245" spans="6:9" x14ac:dyDescent="0.25">
      <c r="F245" s="88"/>
      <c r="G245" s="88"/>
      <c r="H245" s="88"/>
      <c r="I245" s="88"/>
    </row>
    <row r="246" spans="6:9" x14ac:dyDescent="0.25">
      <c r="F246" s="88"/>
      <c r="G246" s="88"/>
      <c r="H246" s="88"/>
      <c r="I246" s="88"/>
    </row>
    <row r="247" spans="6:9" x14ac:dyDescent="0.25">
      <c r="F247" s="88"/>
      <c r="G247" s="88"/>
      <c r="H247" s="88"/>
      <c r="I247" s="88"/>
    </row>
    <row r="248" spans="6:9" x14ac:dyDescent="0.25">
      <c r="F248" s="88"/>
      <c r="G248" s="88"/>
      <c r="H248" s="88"/>
      <c r="I248" s="88"/>
    </row>
    <row r="249" spans="6:9" x14ac:dyDescent="0.25">
      <c r="F249" s="88"/>
      <c r="G249" s="88"/>
      <c r="H249" s="88"/>
      <c r="I249" s="88"/>
    </row>
    <row r="250" spans="6:9" x14ac:dyDescent="0.25">
      <c r="F250" s="88"/>
      <c r="G250" s="88"/>
      <c r="H250" s="88"/>
      <c r="I250" s="88"/>
    </row>
    <row r="251" spans="6:9" x14ac:dyDescent="0.25">
      <c r="F251" s="88"/>
      <c r="G251" s="88"/>
      <c r="H251" s="88"/>
      <c r="I251" s="88"/>
    </row>
    <row r="252" spans="6:9" x14ac:dyDescent="0.25">
      <c r="F252" s="88"/>
      <c r="G252" s="88"/>
      <c r="H252" s="88"/>
      <c r="I252" s="88"/>
    </row>
    <row r="253" spans="6:9" x14ac:dyDescent="0.25">
      <c r="F253" s="88"/>
      <c r="G253" s="88"/>
      <c r="H253" s="88"/>
      <c r="I253" s="88"/>
    </row>
    <row r="254" spans="6:9" x14ac:dyDescent="0.25">
      <c r="F254" s="88"/>
      <c r="G254" s="88"/>
      <c r="H254" s="88"/>
      <c r="I254" s="88"/>
    </row>
    <row r="255" spans="6:9" x14ac:dyDescent="0.25">
      <c r="F255" s="88"/>
      <c r="G255" s="88"/>
      <c r="H255" s="88"/>
      <c r="I255" s="88"/>
    </row>
    <row r="256" spans="6:9" x14ac:dyDescent="0.25">
      <c r="F256" s="88"/>
      <c r="G256" s="88"/>
      <c r="H256" s="88"/>
      <c r="I256" s="88"/>
    </row>
    <row r="257" spans="6:9" x14ac:dyDescent="0.25">
      <c r="F257" s="88"/>
      <c r="G257" s="88"/>
      <c r="H257" s="88"/>
      <c r="I257" s="88"/>
    </row>
    <row r="258" spans="6:9" x14ac:dyDescent="0.25">
      <c r="F258" s="88"/>
      <c r="G258" s="88"/>
      <c r="H258" s="88"/>
      <c r="I258" s="88"/>
    </row>
    <row r="259" spans="6:9" x14ac:dyDescent="0.25">
      <c r="F259" s="88"/>
      <c r="G259" s="88"/>
      <c r="H259" s="88"/>
      <c r="I259" s="88"/>
    </row>
    <row r="260" spans="6:9" x14ac:dyDescent="0.25">
      <c r="F260" s="88"/>
      <c r="G260" s="88"/>
      <c r="H260" s="88"/>
      <c r="I260" s="88"/>
    </row>
    <row r="261" spans="6:9" x14ac:dyDescent="0.25">
      <c r="F261" s="88"/>
      <c r="G261" s="88"/>
      <c r="H261" s="88"/>
      <c r="I261" s="88"/>
    </row>
    <row r="262" spans="6:9" x14ac:dyDescent="0.25">
      <c r="F262" s="88"/>
      <c r="G262" s="88"/>
      <c r="H262" s="88"/>
      <c r="I262" s="88"/>
    </row>
    <row r="263" spans="6:9" x14ac:dyDescent="0.25">
      <c r="F263" s="88"/>
      <c r="G263" s="88"/>
      <c r="H263" s="88"/>
      <c r="I263" s="88"/>
    </row>
    <row r="264" spans="6:9" x14ac:dyDescent="0.25">
      <c r="F264" s="88"/>
      <c r="G264" s="88"/>
      <c r="H264" s="88"/>
      <c r="I264" s="88"/>
    </row>
    <row r="265" spans="6:9" x14ac:dyDescent="0.25">
      <c r="F265" s="88"/>
      <c r="G265" s="88"/>
      <c r="H265" s="88"/>
      <c r="I265" s="88"/>
    </row>
    <row r="266" spans="6:9" x14ac:dyDescent="0.25">
      <c r="F266" s="88"/>
      <c r="G266" s="88"/>
      <c r="H266" s="88"/>
      <c r="I266" s="88"/>
    </row>
    <row r="267" spans="6:9" x14ac:dyDescent="0.25">
      <c r="F267" s="88"/>
      <c r="G267" s="88"/>
      <c r="H267" s="88"/>
      <c r="I267" s="88"/>
    </row>
    <row r="268" spans="6:9" x14ac:dyDescent="0.25">
      <c r="F268" s="88"/>
      <c r="G268" s="88"/>
      <c r="H268" s="88"/>
      <c r="I268" s="88"/>
    </row>
    <row r="269" spans="6:9" x14ac:dyDescent="0.25">
      <c r="F269" s="88"/>
      <c r="G269" s="88"/>
      <c r="H269" s="88"/>
      <c r="I269" s="88"/>
    </row>
    <row r="270" spans="6:9" x14ac:dyDescent="0.25">
      <c r="F270" s="88"/>
      <c r="G270" s="88"/>
      <c r="H270" s="88"/>
      <c r="I270" s="88"/>
    </row>
    <row r="271" spans="6:9" x14ac:dyDescent="0.25">
      <c r="F271" s="88"/>
      <c r="G271" s="88"/>
      <c r="H271" s="88"/>
      <c r="I271" s="88"/>
    </row>
    <row r="272" spans="6:9" x14ac:dyDescent="0.25">
      <c r="F272" s="88"/>
      <c r="G272" s="88"/>
      <c r="H272" s="88"/>
      <c r="I272" s="88"/>
    </row>
    <row r="273" spans="6:9" x14ac:dyDescent="0.25">
      <c r="F273" s="88"/>
      <c r="G273" s="88"/>
      <c r="H273" s="88"/>
      <c r="I273" s="88"/>
    </row>
    <row r="274" spans="6:9" x14ac:dyDescent="0.25">
      <c r="F274" s="88"/>
      <c r="G274" s="88"/>
      <c r="H274" s="88"/>
      <c r="I274" s="88"/>
    </row>
    <row r="275" spans="6:9" x14ac:dyDescent="0.25">
      <c r="F275" s="88"/>
      <c r="G275" s="88"/>
      <c r="H275" s="88"/>
      <c r="I275" s="88"/>
    </row>
    <row r="276" spans="6:9" x14ac:dyDescent="0.25">
      <c r="F276" s="88"/>
      <c r="G276" s="88"/>
      <c r="H276" s="88"/>
      <c r="I276" s="88"/>
    </row>
    <row r="277" spans="6:9" x14ac:dyDescent="0.25">
      <c r="F277" s="88"/>
      <c r="G277" s="88"/>
      <c r="H277" s="88"/>
      <c r="I277" s="88"/>
    </row>
    <row r="278" spans="6:9" x14ac:dyDescent="0.25">
      <c r="F278" s="88"/>
      <c r="G278" s="88"/>
      <c r="H278" s="88"/>
      <c r="I278" s="88"/>
    </row>
    <row r="279" spans="6:9" x14ac:dyDescent="0.25">
      <c r="F279" s="88"/>
      <c r="G279" s="88"/>
      <c r="H279" s="88"/>
      <c r="I279" s="88"/>
    </row>
    <row r="280" spans="6:9" x14ac:dyDescent="0.25">
      <c r="F280" s="88"/>
      <c r="G280" s="88"/>
      <c r="H280" s="88"/>
      <c r="I280" s="88"/>
    </row>
    <row r="281" spans="6:9" x14ac:dyDescent="0.25">
      <c r="F281" s="88"/>
      <c r="G281" s="88"/>
      <c r="H281" s="88"/>
      <c r="I281" s="88"/>
    </row>
    <row r="282" spans="6:9" x14ac:dyDescent="0.25">
      <c r="F282" s="88"/>
      <c r="G282" s="88"/>
      <c r="H282" s="88"/>
      <c r="I282" s="88"/>
    </row>
    <row r="283" spans="6:9" x14ac:dyDescent="0.25">
      <c r="F283" s="88"/>
      <c r="G283" s="88"/>
      <c r="H283" s="88"/>
      <c r="I283" s="88"/>
    </row>
    <row r="284" spans="6:9" x14ac:dyDescent="0.25">
      <c r="F284" s="88"/>
      <c r="G284" s="88"/>
      <c r="H284" s="88"/>
      <c r="I284" s="88"/>
    </row>
    <row r="285" spans="6:9" x14ac:dyDescent="0.25">
      <c r="F285" s="88"/>
      <c r="G285" s="88"/>
      <c r="H285" s="88"/>
      <c r="I285" s="88"/>
    </row>
    <row r="286" spans="6:9" x14ac:dyDescent="0.25">
      <c r="F286" s="88"/>
      <c r="G286" s="88"/>
      <c r="H286" s="88"/>
      <c r="I286" s="88"/>
    </row>
    <row r="287" spans="6:9" x14ac:dyDescent="0.25">
      <c r="F287" s="88"/>
      <c r="G287" s="88"/>
      <c r="H287" s="88"/>
      <c r="I287" s="88"/>
    </row>
    <row r="288" spans="6:9" x14ac:dyDescent="0.25">
      <c r="F288" s="88"/>
      <c r="G288" s="88"/>
      <c r="H288" s="88"/>
      <c r="I288" s="88"/>
    </row>
    <row r="289" spans="6:9" x14ac:dyDescent="0.25">
      <c r="F289" s="88"/>
      <c r="G289" s="88"/>
      <c r="H289" s="88"/>
      <c r="I289" s="88"/>
    </row>
    <row r="290" spans="6:9" x14ac:dyDescent="0.25">
      <c r="F290" s="88"/>
      <c r="G290" s="88"/>
      <c r="H290" s="88"/>
      <c r="I290" s="88"/>
    </row>
    <row r="291" spans="6:9" x14ac:dyDescent="0.25">
      <c r="F291" s="88"/>
      <c r="G291" s="88"/>
      <c r="H291" s="88"/>
      <c r="I291" s="88"/>
    </row>
    <row r="292" spans="6:9" x14ac:dyDescent="0.25">
      <c r="F292" s="88"/>
      <c r="G292" s="88"/>
      <c r="H292" s="88"/>
      <c r="I292" s="88"/>
    </row>
    <row r="293" spans="6:9" x14ac:dyDescent="0.25">
      <c r="F293" s="88"/>
      <c r="G293" s="88"/>
      <c r="H293" s="88"/>
      <c r="I293" s="88"/>
    </row>
    <row r="294" spans="6:9" x14ac:dyDescent="0.25">
      <c r="F294" s="88"/>
      <c r="G294" s="88"/>
      <c r="H294" s="88"/>
      <c r="I294" s="88"/>
    </row>
    <row r="295" spans="6:9" x14ac:dyDescent="0.25">
      <c r="F295" s="88"/>
      <c r="G295" s="88"/>
      <c r="H295" s="88"/>
      <c r="I295" s="88"/>
    </row>
    <row r="296" spans="6:9" x14ac:dyDescent="0.25">
      <c r="F296" s="88"/>
      <c r="G296" s="88"/>
      <c r="H296" s="88"/>
      <c r="I296" s="88"/>
    </row>
    <row r="297" spans="6:9" x14ac:dyDescent="0.25">
      <c r="F297" s="88"/>
      <c r="G297" s="88"/>
      <c r="H297" s="88"/>
      <c r="I297" s="88"/>
    </row>
    <row r="298" spans="6:9" x14ac:dyDescent="0.25">
      <c r="F298" s="88"/>
      <c r="G298" s="88"/>
      <c r="H298" s="88"/>
      <c r="I298" s="88"/>
    </row>
    <row r="299" spans="6:9" x14ac:dyDescent="0.25">
      <c r="F299" s="88"/>
      <c r="G299" s="88"/>
      <c r="H299" s="88"/>
      <c r="I299" s="88"/>
    </row>
    <row r="300" spans="6:9" x14ac:dyDescent="0.25">
      <c r="F300" s="88"/>
      <c r="G300" s="88"/>
      <c r="H300" s="88"/>
      <c r="I300" s="88"/>
    </row>
    <row r="301" spans="6:9" x14ac:dyDescent="0.25">
      <c r="F301" s="88"/>
      <c r="G301" s="88"/>
      <c r="H301" s="88"/>
      <c r="I301" s="88"/>
    </row>
    <row r="302" spans="6:9" x14ac:dyDescent="0.25">
      <c r="F302" s="88"/>
      <c r="G302" s="88"/>
      <c r="H302" s="88"/>
      <c r="I302" s="88"/>
    </row>
    <row r="303" spans="6:9" x14ac:dyDescent="0.25">
      <c r="F303" s="88"/>
      <c r="G303" s="88"/>
      <c r="H303" s="88"/>
      <c r="I303" s="88"/>
    </row>
    <row r="304" spans="6:9" x14ac:dyDescent="0.25">
      <c r="F304" s="88"/>
      <c r="G304" s="88"/>
      <c r="H304" s="88"/>
      <c r="I304" s="88"/>
    </row>
    <row r="305" spans="6:9" x14ac:dyDescent="0.25">
      <c r="F305" s="88"/>
      <c r="G305" s="88"/>
      <c r="H305" s="88"/>
      <c r="I305" s="88"/>
    </row>
    <row r="306" spans="6:9" x14ac:dyDescent="0.25">
      <c r="F306" s="88"/>
      <c r="G306" s="88"/>
      <c r="H306" s="88"/>
      <c r="I306" s="88"/>
    </row>
    <row r="307" spans="6:9" x14ac:dyDescent="0.25">
      <c r="F307" s="88"/>
      <c r="G307" s="88"/>
      <c r="H307" s="88"/>
      <c r="I307" s="88"/>
    </row>
    <row r="308" spans="6:9" x14ac:dyDescent="0.25">
      <c r="F308" s="88"/>
      <c r="G308" s="88"/>
      <c r="H308" s="88"/>
      <c r="I308" s="88"/>
    </row>
    <row r="309" spans="6:9" x14ac:dyDescent="0.25">
      <c r="F309" s="88"/>
      <c r="G309" s="88"/>
      <c r="H309" s="88"/>
      <c r="I309" s="88"/>
    </row>
    <row r="310" spans="6:9" x14ac:dyDescent="0.25">
      <c r="F310" s="88"/>
      <c r="G310" s="88"/>
      <c r="H310" s="88"/>
      <c r="I310" s="88"/>
    </row>
    <row r="311" spans="6:9" x14ac:dyDescent="0.25">
      <c r="F311" s="88"/>
      <c r="G311" s="88"/>
      <c r="H311" s="88"/>
      <c r="I311" s="88"/>
    </row>
    <row r="312" spans="6:9" x14ac:dyDescent="0.25">
      <c r="F312" s="88"/>
      <c r="G312" s="88"/>
      <c r="H312" s="88"/>
      <c r="I312" s="88"/>
    </row>
    <row r="313" spans="6:9" x14ac:dyDescent="0.25">
      <c r="F313" s="88"/>
      <c r="G313" s="88"/>
      <c r="H313" s="88"/>
      <c r="I313" s="88"/>
    </row>
    <row r="314" spans="6:9" x14ac:dyDescent="0.25">
      <c r="F314" s="88"/>
      <c r="G314" s="88"/>
      <c r="H314" s="88"/>
      <c r="I314" s="88"/>
    </row>
    <row r="315" spans="6:9" x14ac:dyDescent="0.25">
      <c r="F315" s="88"/>
      <c r="G315" s="88"/>
      <c r="H315" s="88"/>
      <c r="I315" s="88"/>
    </row>
    <row r="316" spans="6:9" x14ac:dyDescent="0.25">
      <c r="F316" s="88"/>
      <c r="G316" s="88"/>
      <c r="H316" s="88"/>
      <c r="I316" s="88"/>
    </row>
    <row r="317" spans="6:9" x14ac:dyDescent="0.25">
      <c r="F317" s="88"/>
      <c r="G317" s="88"/>
      <c r="H317" s="88"/>
      <c r="I317" s="88"/>
    </row>
    <row r="318" spans="6:9" x14ac:dyDescent="0.25">
      <c r="F318" s="88"/>
      <c r="G318" s="88"/>
      <c r="H318" s="88"/>
      <c r="I318" s="88"/>
    </row>
    <row r="319" spans="6:9" x14ac:dyDescent="0.25">
      <c r="F319" s="88"/>
      <c r="G319" s="88"/>
      <c r="H319" s="88"/>
      <c r="I319" s="88"/>
    </row>
    <row r="320" spans="6:9" x14ac:dyDescent="0.25">
      <c r="F320" s="88"/>
      <c r="G320" s="88"/>
      <c r="H320" s="88"/>
      <c r="I320" s="88"/>
    </row>
    <row r="321" spans="6:9" x14ac:dyDescent="0.25">
      <c r="F321" s="88"/>
      <c r="G321" s="88"/>
      <c r="H321" s="88"/>
      <c r="I321" s="88"/>
    </row>
    <row r="322" spans="6:9" x14ac:dyDescent="0.25">
      <c r="F322" s="88"/>
      <c r="G322" s="88"/>
      <c r="H322" s="88"/>
      <c r="I322" s="88"/>
    </row>
    <row r="323" spans="6:9" x14ac:dyDescent="0.25">
      <c r="F323" s="88"/>
      <c r="G323" s="88"/>
      <c r="H323" s="88"/>
      <c r="I323" s="88"/>
    </row>
    <row r="324" spans="6:9" x14ac:dyDescent="0.25">
      <c r="F324" s="88"/>
      <c r="G324" s="88"/>
      <c r="H324" s="88"/>
      <c r="I324" s="88"/>
    </row>
    <row r="325" spans="6:9" x14ac:dyDescent="0.25">
      <c r="F325" s="88"/>
      <c r="G325" s="88"/>
      <c r="H325" s="88"/>
      <c r="I325" s="88"/>
    </row>
    <row r="326" spans="6:9" x14ac:dyDescent="0.25">
      <c r="F326" s="88"/>
      <c r="G326" s="88"/>
      <c r="H326" s="88"/>
      <c r="I326" s="88"/>
    </row>
    <row r="327" spans="6:9" x14ac:dyDescent="0.25">
      <c r="F327" s="88"/>
      <c r="G327" s="88"/>
      <c r="H327" s="88"/>
      <c r="I327" s="88"/>
    </row>
    <row r="328" spans="6:9" x14ac:dyDescent="0.25">
      <c r="F328" s="88"/>
      <c r="G328" s="88"/>
      <c r="H328" s="88"/>
      <c r="I328" s="88"/>
    </row>
    <row r="329" spans="6:9" x14ac:dyDescent="0.25">
      <c r="F329" s="88"/>
      <c r="G329" s="88"/>
      <c r="H329" s="88"/>
      <c r="I329" s="88"/>
    </row>
    <row r="330" spans="6:9" x14ac:dyDescent="0.25">
      <c r="F330" s="88"/>
      <c r="G330" s="88"/>
      <c r="H330" s="88"/>
      <c r="I330" s="88"/>
    </row>
    <row r="331" spans="6:9" x14ac:dyDescent="0.25">
      <c r="F331" s="88"/>
      <c r="G331" s="88"/>
      <c r="H331" s="88"/>
      <c r="I331" s="88"/>
    </row>
    <row r="332" spans="6:9" x14ac:dyDescent="0.25">
      <c r="F332" s="88"/>
      <c r="G332" s="88"/>
      <c r="H332" s="88"/>
      <c r="I332" s="88"/>
    </row>
    <row r="333" spans="6:9" x14ac:dyDescent="0.25">
      <c r="F333" s="88"/>
      <c r="G333" s="88"/>
      <c r="H333" s="88"/>
      <c r="I333" s="88"/>
    </row>
    <row r="334" spans="6:9" x14ac:dyDescent="0.25">
      <c r="F334" s="88"/>
      <c r="G334" s="88"/>
      <c r="H334" s="88"/>
      <c r="I334" s="88"/>
    </row>
    <row r="335" spans="6:9" x14ac:dyDescent="0.25">
      <c r="F335" s="88"/>
      <c r="G335" s="88"/>
      <c r="H335" s="88"/>
      <c r="I335" s="88"/>
    </row>
    <row r="336" spans="6:9" x14ac:dyDescent="0.25">
      <c r="F336" s="88"/>
      <c r="G336" s="88"/>
      <c r="H336" s="88"/>
      <c r="I336" s="88"/>
    </row>
    <row r="337" spans="6:9" x14ac:dyDescent="0.25">
      <c r="F337" s="88"/>
      <c r="G337" s="88"/>
      <c r="H337" s="88"/>
      <c r="I337" s="88"/>
    </row>
    <row r="338" spans="6:9" x14ac:dyDescent="0.25">
      <c r="F338" s="88"/>
      <c r="G338" s="88"/>
      <c r="H338" s="88"/>
      <c r="I338" s="88"/>
    </row>
    <row r="339" spans="6:9" x14ac:dyDescent="0.25">
      <c r="F339" s="88"/>
      <c r="G339" s="88"/>
      <c r="H339" s="88"/>
      <c r="I339" s="88"/>
    </row>
    <row r="340" spans="6:9" x14ac:dyDescent="0.25">
      <c r="F340" s="88"/>
      <c r="G340" s="88"/>
      <c r="H340" s="88"/>
      <c r="I340" s="88"/>
    </row>
    <row r="341" spans="6:9" x14ac:dyDescent="0.25">
      <c r="F341" s="88"/>
      <c r="G341" s="88"/>
      <c r="H341" s="88"/>
      <c r="I341" s="88"/>
    </row>
    <row r="342" spans="6:9" x14ac:dyDescent="0.25">
      <c r="F342" s="88"/>
      <c r="G342" s="88"/>
      <c r="H342" s="88"/>
      <c r="I342" s="88"/>
    </row>
    <row r="343" spans="6:9" x14ac:dyDescent="0.25">
      <c r="F343" s="88"/>
      <c r="G343" s="88"/>
      <c r="H343" s="88"/>
      <c r="I343" s="88"/>
    </row>
    <row r="344" spans="6:9" x14ac:dyDescent="0.25">
      <c r="F344" s="88"/>
      <c r="G344" s="88"/>
      <c r="H344" s="88"/>
      <c r="I344" s="88"/>
    </row>
    <row r="345" spans="6:9" x14ac:dyDescent="0.25">
      <c r="F345" s="88"/>
      <c r="G345" s="88"/>
      <c r="H345" s="88"/>
      <c r="I345" s="88"/>
    </row>
    <row r="346" spans="6:9" x14ac:dyDescent="0.25">
      <c r="F346" s="88"/>
      <c r="G346" s="88"/>
      <c r="H346" s="88"/>
      <c r="I346" s="88"/>
    </row>
    <row r="347" spans="6:9" x14ac:dyDescent="0.25">
      <c r="F347" s="88"/>
      <c r="G347" s="88"/>
      <c r="H347" s="88"/>
      <c r="I347" s="88"/>
    </row>
    <row r="348" spans="6:9" x14ac:dyDescent="0.25">
      <c r="F348" s="88"/>
      <c r="G348" s="88"/>
      <c r="H348" s="88"/>
      <c r="I348" s="88"/>
    </row>
    <row r="349" spans="6:9" x14ac:dyDescent="0.25">
      <c r="F349" s="88"/>
      <c r="G349" s="88"/>
      <c r="H349" s="88"/>
      <c r="I349" s="88"/>
    </row>
    <row r="350" spans="6:9" x14ac:dyDescent="0.25">
      <c r="F350" s="88"/>
      <c r="G350" s="88"/>
      <c r="H350" s="88"/>
      <c r="I350" s="88"/>
    </row>
    <row r="351" spans="6:9" x14ac:dyDescent="0.25">
      <c r="F351" s="88"/>
      <c r="G351" s="88"/>
      <c r="H351" s="88"/>
      <c r="I351" s="88"/>
    </row>
    <row r="352" spans="6:9" x14ac:dyDescent="0.25">
      <c r="F352" s="88"/>
      <c r="G352" s="88"/>
      <c r="H352" s="88"/>
      <c r="I352" s="88"/>
    </row>
    <row r="353" spans="6:9" x14ac:dyDescent="0.25">
      <c r="F353" s="88"/>
      <c r="G353" s="88"/>
      <c r="H353" s="88"/>
      <c r="I353" s="88"/>
    </row>
    <row r="354" spans="6:9" x14ac:dyDescent="0.25">
      <c r="F354" s="88"/>
      <c r="G354" s="88"/>
      <c r="H354" s="88"/>
      <c r="I354" s="88"/>
    </row>
    <row r="355" spans="6:9" x14ac:dyDescent="0.25">
      <c r="F355" s="88"/>
      <c r="G355" s="88"/>
      <c r="H355" s="88"/>
      <c r="I355" s="88"/>
    </row>
    <row r="356" spans="6:9" x14ac:dyDescent="0.25">
      <c r="F356" s="88"/>
      <c r="G356" s="88"/>
      <c r="H356" s="88"/>
      <c r="I356" s="88"/>
    </row>
    <row r="357" spans="6:9" x14ac:dyDescent="0.25">
      <c r="F357" s="88"/>
      <c r="G357" s="88"/>
      <c r="H357" s="88"/>
      <c r="I357" s="88"/>
    </row>
    <row r="358" spans="6:9" x14ac:dyDescent="0.25">
      <c r="F358" s="88"/>
      <c r="G358" s="88"/>
      <c r="H358" s="88"/>
      <c r="I358" s="88"/>
    </row>
    <row r="359" spans="6:9" x14ac:dyDescent="0.25">
      <c r="F359" s="88"/>
      <c r="G359" s="88"/>
      <c r="H359" s="88"/>
      <c r="I359" s="88"/>
    </row>
    <row r="360" spans="6:9" x14ac:dyDescent="0.25">
      <c r="F360" s="88"/>
      <c r="G360" s="88"/>
      <c r="H360" s="88"/>
      <c r="I360" s="88"/>
    </row>
    <row r="361" spans="6:9" x14ac:dyDescent="0.25">
      <c r="F361" s="88"/>
      <c r="G361" s="88"/>
      <c r="H361" s="88"/>
      <c r="I361" s="88"/>
    </row>
    <row r="362" spans="6:9" x14ac:dyDescent="0.25">
      <c r="F362" s="88"/>
      <c r="G362" s="88"/>
      <c r="H362" s="88"/>
      <c r="I362" s="88"/>
    </row>
    <row r="363" spans="6:9" x14ac:dyDescent="0.25">
      <c r="F363" s="88"/>
      <c r="G363" s="88"/>
      <c r="H363" s="88"/>
      <c r="I363" s="88"/>
    </row>
    <row r="364" spans="6:9" x14ac:dyDescent="0.25">
      <c r="F364" s="88"/>
      <c r="G364" s="88"/>
      <c r="H364" s="88"/>
      <c r="I364" s="88"/>
    </row>
    <row r="365" spans="6:9" x14ac:dyDescent="0.25">
      <c r="F365" s="88"/>
      <c r="G365" s="88"/>
      <c r="H365" s="88"/>
      <c r="I365" s="88"/>
    </row>
    <row r="366" spans="6:9" x14ac:dyDescent="0.25">
      <c r="F366" s="88"/>
      <c r="G366" s="88"/>
      <c r="H366" s="88"/>
      <c r="I366" s="88"/>
    </row>
    <row r="367" spans="6:9" x14ac:dyDescent="0.25">
      <c r="F367" s="88"/>
      <c r="G367" s="88"/>
      <c r="H367" s="88"/>
      <c r="I367" s="88"/>
    </row>
    <row r="368" spans="6:9" x14ac:dyDescent="0.25">
      <c r="F368" s="88"/>
      <c r="G368" s="88"/>
      <c r="H368" s="88"/>
      <c r="I368" s="88"/>
    </row>
    <row r="369" spans="6:9" x14ac:dyDescent="0.25">
      <c r="F369" s="88"/>
      <c r="G369" s="88"/>
      <c r="H369" s="88"/>
      <c r="I369" s="88"/>
    </row>
    <row r="370" spans="6:9" x14ac:dyDescent="0.25">
      <c r="F370" s="88"/>
      <c r="G370" s="88"/>
      <c r="H370" s="88"/>
      <c r="I370" s="88"/>
    </row>
    <row r="371" spans="6:9" x14ac:dyDescent="0.25">
      <c r="F371" s="88"/>
      <c r="G371" s="88"/>
      <c r="H371" s="88"/>
      <c r="I371" s="88"/>
    </row>
    <row r="372" spans="6:9" x14ac:dyDescent="0.25">
      <c r="F372" s="88"/>
      <c r="G372" s="88"/>
      <c r="H372" s="88"/>
      <c r="I372" s="88"/>
    </row>
    <row r="373" spans="6:9" x14ac:dyDescent="0.25">
      <c r="F373" s="88"/>
      <c r="G373" s="88"/>
      <c r="H373" s="88"/>
      <c r="I373" s="88"/>
    </row>
    <row r="374" spans="6:9" x14ac:dyDescent="0.25">
      <c r="F374" s="88"/>
      <c r="G374" s="88"/>
      <c r="H374" s="88"/>
      <c r="I374" s="88"/>
    </row>
    <row r="375" spans="6:9" x14ac:dyDescent="0.25">
      <c r="F375" s="88"/>
      <c r="G375" s="88"/>
      <c r="H375" s="88"/>
      <c r="I375" s="88"/>
    </row>
    <row r="376" spans="6:9" x14ac:dyDescent="0.25">
      <c r="F376" s="88"/>
      <c r="G376" s="88"/>
      <c r="H376" s="88"/>
      <c r="I376" s="88"/>
    </row>
    <row r="377" spans="6:9" x14ac:dyDescent="0.25">
      <c r="F377" s="88"/>
      <c r="G377" s="88"/>
      <c r="H377" s="88"/>
      <c r="I377" s="88"/>
    </row>
    <row r="378" spans="6:9" x14ac:dyDescent="0.25">
      <c r="F378" s="88"/>
      <c r="G378" s="88"/>
      <c r="H378" s="88"/>
      <c r="I378" s="88"/>
    </row>
    <row r="379" spans="6:9" x14ac:dyDescent="0.25">
      <c r="F379" s="88"/>
      <c r="G379" s="88"/>
      <c r="H379" s="88"/>
      <c r="I379" s="88"/>
    </row>
    <row r="380" spans="6:9" x14ac:dyDescent="0.25">
      <c r="F380" s="88"/>
      <c r="G380" s="88"/>
      <c r="H380" s="88"/>
      <c r="I380" s="88"/>
    </row>
    <row r="381" spans="6:9" x14ac:dyDescent="0.25">
      <c r="F381" s="88"/>
      <c r="G381" s="88"/>
      <c r="H381" s="88"/>
      <c r="I381" s="88"/>
    </row>
    <row r="382" spans="6:9" x14ac:dyDescent="0.25">
      <c r="F382" s="88"/>
      <c r="G382" s="88"/>
      <c r="H382" s="88"/>
      <c r="I382" s="88"/>
    </row>
    <row r="383" spans="6:9" x14ac:dyDescent="0.25">
      <c r="F383" s="88"/>
      <c r="G383" s="88"/>
      <c r="H383" s="88"/>
      <c r="I383" s="88"/>
    </row>
    <row r="384" spans="6:9" x14ac:dyDescent="0.25">
      <c r="F384" s="88"/>
      <c r="G384" s="88"/>
      <c r="H384" s="88"/>
      <c r="I384" s="88"/>
    </row>
    <row r="385" spans="6:9" x14ac:dyDescent="0.25">
      <c r="F385" s="88"/>
      <c r="G385" s="88"/>
      <c r="H385" s="88"/>
      <c r="I385" s="88"/>
    </row>
    <row r="386" spans="6:9" x14ac:dyDescent="0.25">
      <c r="F386" s="88"/>
      <c r="G386" s="88"/>
      <c r="H386" s="88"/>
      <c r="I386" s="88"/>
    </row>
    <row r="387" spans="6:9" x14ac:dyDescent="0.25">
      <c r="F387" s="88"/>
      <c r="G387" s="88"/>
      <c r="H387" s="88"/>
      <c r="I387" s="88"/>
    </row>
    <row r="388" spans="6:9" x14ac:dyDescent="0.25">
      <c r="F388" s="88"/>
      <c r="G388" s="88"/>
      <c r="H388" s="88"/>
      <c r="I388" s="88"/>
    </row>
    <row r="389" spans="6:9" x14ac:dyDescent="0.25">
      <c r="F389" s="88"/>
      <c r="G389" s="88"/>
      <c r="H389" s="88"/>
      <c r="I389" s="88"/>
    </row>
    <row r="390" spans="6:9" x14ac:dyDescent="0.25">
      <c r="F390" s="88"/>
      <c r="G390" s="88"/>
      <c r="H390" s="88"/>
      <c r="I390" s="88"/>
    </row>
    <row r="391" spans="6:9" x14ac:dyDescent="0.25">
      <c r="F391" s="88"/>
      <c r="G391" s="88"/>
      <c r="H391" s="88"/>
      <c r="I391" s="88"/>
    </row>
    <row r="392" spans="6:9" x14ac:dyDescent="0.25">
      <c r="F392" s="88"/>
      <c r="G392" s="88"/>
      <c r="H392" s="88"/>
      <c r="I392" s="88"/>
    </row>
    <row r="393" spans="6:9" x14ac:dyDescent="0.25">
      <c r="F393" s="88"/>
      <c r="G393" s="88"/>
      <c r="H393" s="88"/>
      <c r="I393" s="88"/>
    </row>
    <row r="394" spans="6:9" x14ac:dyDescent="0.25">
      <c r="F394" s="88"/>
      <c r="G394" s="88"/>
      <c r="H394" s="88"/>
      <c r="I394" s="88"/>
    </row>
    <row r="395" spans="6:9" x14ac:dyDescent="0.25">
      <c r="F395" s="88"/>
      <c r="G395" s="88"/>
      <c r="H395" s="88"/>
      <c r="I395" s="88"/>
    </row>
    <row r="396" spans="6:9" x14ac:dyDescent="0.25">
      <c r="F396" s="88"/>
      <c r="G396" s="88"/>
      <c r="H396" s="88"/>
      <c r="I396" s="88"/>
    </row>
    <row r="397" spans="6:9" x14ac:dyDescent="0.25">
      <c r="F397" s="88"/>
      <c r="G397" s="88"/>
      <c r="H397" s="88"/>
      <c r="I397" s="88"/>
    </row>
    <row r="398" spans="6:9" x14ac:dyDescent="0.25">
      <c r="F398" s="88"/>
      <c r="G398" s="88"/>
      <c r="H398" s="88"/>
      <c r="I398" s="88"/>
    </row>
    <row r="399" spans="6:9" x14ac:dyDescent="0.25">
      <c r="F399" s="88"/>
      <c r="G399" s="88"/>
      <c r="H399" s="88"/>
      <c r="I399" s="88"/>
    </row>
    <row r="400" spans="6:9" x14ac:dyDescent="0.25">
      <c r="F400" s="88"/>
      <c r="G400" s="88"/>
      <c r="H400" s="88"/>
      <c r="I400" s="88"/>
    </row>
    <row r="401" spans="6:9" x14ac:dyDescent="0.25">
      <c r="F401" s="88"/>
      <c r="G401" s="88"/>
      <c r="H401" s="88"/>
      <c r="I401" s="88"/>
    </row>
    <row r="402" spans="6:9" x14ac:dyDescent="0.25">
      <c r="F402" s="88"/>
      <c r="G402" s="88"/>
      <c r="H402" s="88"/>
      <c r="I402" s="88"/>
    </row>
    <row r="403" spans="6:9" x14ac:dyDescent="0.25">
      <c r="F403" s="88"/>
      <c r="G403" s="88"/>
      <c r="H403" s="88"/>
      <c r="I403" s="88"/>
    </row>
    <row r="404" spans="6:9" x14ac:dyDescent="0.25">
      <c r="F404" s="88"/>
      <c r="G404" s="88"/>
      <c r="H404" s="88"/>
      <c r="I404" s="88"/>
    </row>
    <row r="405" spans="6:9" x14ac:dyDescent="0.25">
      <c r="F405" s="88"/>
      <c r="G405" s="88"/>
      <c r="H405" s="88"/>
      <c r="I405" s="88"/>
    </row>
    <row r="406" spans="6:9" x14ac:dyDescent="0.25">
      <c r="F406" s="88"/>
    </row>
  </sheetData>
  <mergeCells count="96">
    <mergeCell ref="T109:T111"/>
    <mergeCell ref="U109:U111"/>
    <mergeCell ref="V109:V111"/>
    <mergeCell ref="T103:X103"/>
    <mergeCell ref="T104:T106"/>
    <mergeCell ref="U104:U106"/>
    <mergeCell ref="V104:V106"/>
    <mergeCell ref="T108:X108"/>
    <mergeCell ref="T93:T95"/>
    <mergeCell ref="U93:U95"/>
    <mergeCell ref="V93:V95"/>
    <mergeCell ref="T97:X97"/>
    <mergeCell ref="T98:T100"/>
    <mergeCell ref="U98:U100"/>
    <mergeCell ref="V98:V100"/>
    <mergeCell ref="T87:X87"/>
    <mergeCell ref="T88:T90"/>
    <mergeCell ref="U88:U90"/>
    <mergeCell ref="V88:V90"/>
    <mergeCell ref="T92:X92"/>
    <mergeCell ref="T78:X78"/>
    <mergeCell ref="T79:T81"/>
    <mergeCell ref="U79:U81"/>
    <mergeCell ref="V79:V81"/>
    <mergeCell ref="T83:T85"/>
    <mergeCell ref="U83:U85"/>
    <mergeCell ref="V83:V85"/>
    <mergeCell ref="W75:W76"/>
    <mergeCell ref="T65:X65"/>
    <mergeCell ref="T66:T69"/>
    <mergeCell ref="U66:U69"/>
    <mergeCell ref="V66:V69"/>
    <mergeCell ref="T70:X70"/>
    <mergeCell ref="T71:T76"/>
    <mergeCell ref="U71:U76"/>
    <mergeCell ref="V71:V76"/>
    <mergeCell ref="W71:W72"/>
    <mergeCell ref="W73:W74"/>
    <mergeCell ref="T59:T64"/>
    <mergeCell ref="U59:U64"/>
    <mergeCell ref="V59:V64"/>
    <mergeCell ref="W59:W60"/>
    <mergeCell ref="W61:W62"/>
    <mergeCell ref="W63:W64"/>
    <mergeCell ref="T52:X52"/>
    <mergeCell ref="T53:T58"/>
    <mergeCell ref="U53:U58"/>
    <mergeCell ref="V53:V58"/>
    <mergeCell ref="W53:W54"/>
    <mergeCell ref="W55:W56"/>
    <mergeCell ref="W57:W58"/>
    <mergeCell ref="T44:X44"/>
    <mergeCell ref="T45:T47"/>
    <mergeCell ref="U45:U47"/>
    <mergeCell ref="V45:V47"/>
    <mergeCell ref="T49:T51"/>
    <mergeCell ref="U49:U51"/>
    <mergeCell ref="V49:V51"/>
    <mergeCell ref="T38:T43"/>
    <mergeCell ref="U38:U43"/>
    <mergeCell ref="V38:V43"/>
    <mergeCell ref="W38:W39"/>
    <mergeCell ref="W40:W41"/>
    <mergeCell ref="W42:W43"/>
    <mergeCell ref="T28:T30"/>
    <mergeCell ref="U28:U30"/>
    <mergeCell ref="V28:V30"/>
    <mergeCell ref="T31:X31"/>
    <mergeCell ref="T32:T37"/>
    <mergeCell ref="U32:U37"/>
    <mergeCell ref="V32:V37"/>
    <mergeCell ref="W32:W33"/>
    <mergeCell ref="W34:W35"/>
    <mergeCell ref="W36:W37"/>
    <mergeCell ref="T20:T22"/>
    <mergeCell ref="U20:U22"/>
    <mergeCell ref="V20:V22"/>
    <mergeCell ref="T23:X23"/>
    <mergeCell ref="T24:T26"/>
    <mergeCell ref="U24:U26"/>
    <mergeCell ref="V24:V26"/>
    <mergeCell ref="T12:T14"/>
    <mergeCell ref="U12:U14"/>
    <mergeCell ref="V12:V14"/>
    <mergeCell ref="T15:X15"/>
    <mergeCell ref="T16:T18"/>
    <mergeCell ref="U16:U18"/>
    <mergeCell ref="V16:V18"/>
    <mergeCell ref="T8:T10"/>
    <mergeCell ref="U8:U10"/>
    <mergeCell ref="V8:V10"/>
    <mergeCell ref="T2:X2"/>
    <mergeCell ref="T4:T6"/>
    <mergeCell ref="U4:U6"/>
    <mergeCell ref="V4:V6"/>
    <mergeCell ref="T7:X7"/>
  </mergeCells>
  <conditionalFormatting sqref="F407:F1048576 F1:F67">
    <cfRule type="duplicateValues" dxfId="11" priority="12"/>
  </conditionalFormatting>
  <conditionalFormatting sqref="G406:H1048576 G1:H67">
    <cfRule type="duplicateValues" dxfId="10" priority="11"/>
  </conditionalFormatting>
  <conditionalFormatting sqref="F1:F109 F112:F1048576">
    <cfRule type="duplicateValues" dxfId="9" priority="6"/>
  </conditionalFormatting>
  <conditionalFormatting sqref="G1:H109 G112:H1048576">
    <cfRule type="duplicateValues" dxfId="8" priority="5"/>
  </conditionalFormatting>
  <conditionalFormatting sqref="F68:F109 F112:F406">
    <cfRule type="duplicateValues" dxfId="7" priority="516"/>
  </conditionalFormatting>
  <conditionalFormatting sqref="G68:H109 G112:H405">
    <cfRule type="duplicateValues" dxfId="6" priority="518"/>
  </conditionalFormatting>
  <conditionalFormatting sqref="F110:F111">
    <cfRule type="duplicateValues" dxfId="5" priority="2"/>
  </conditionalFormatting>
  <conditionalFormatting sqref="G110:H111">
    <cfRule type="duplicateValues" dxfId="4" priority="1"/>
  </conditionalFormatting>
  <conditionalFormatting sqref="F110:F111">
    <cfRule type="duplicateValues" dxfId="3" priority="3"/>
  </conditionalFormatting>
  <conditionalFormatting sqref="G110:H111">
    <cfRule type="duplicateValues" dxfId="2" priority="4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6"/>
  <sheetViews>
    <sheetView workbookViewId="0">
      <selection activeCell="C27" sqref="C27"/>
    </sheetView>
  </sheetViews>
  <sheetFormatPr defaultRowHeight="25.5" x14ac:dyDescent="0.35"/>
  <cols>
    <col min="2" max="2" width="79.5703125" style="74" bestFit="1" customWidth="1"/>
    <col min="3" max="3" width="20.28515625" style="74" bestFit="1" customWidth="1"/>
    <col min="4" max="4" width="19.5703125" style="74" bestFit="1" customWidth="1"/>
  </cols>
  <sheetData>
    <row r="1" spans="2:4" ht="26.25" thickBot="1" x14ac:dyDescent="0.4"/>
    <row r="2" spans="2:4" ht="27" thickBot="1" x14ac:dyDescent="0.3">
      <c r="B2" s="161" t="s">
        <v>395</v>
      </c>
      <c r="C2" s="162"/>
      <c r="D2" s="163"/>
    </row>
    <row r="3" spans="2:4" ht="27" thickBot="1" x14ac:dyDescent="0.3">
      <c r="B3" s="64" t="s">
        <v>396</v>
      </c>
      <c r="C3" s="65" t="s">
        <v>9</v>
      </c>
      <c r="D3" s="66" t="s">
        <v>45</v>
      </c>
    </row>
    <row r="4" spans="2:4" ht="26.25" x14ac:dyDescent="0.25">
      <c r="B4" s="78" t="s">
        <v>321</v>
      </c>
      <c r="C4" s="68" t="s">
        <v>382</v>
      </c>
      <c r="D4" s="69" t="s">
        <v>383</v>
      </c>
    </row>
    <row r="5" spans="2:4" ht="26.25" x14ac:dyDescent="0.25">
      <c r="B5" s="71" t="s">
        <v>399</v>
      </c>
      <c r="C5" s="71" t="s">
        <v>384</v>
      </c>
      <c r="D5" s="72" t="s">
        <v>386</v>
      </c>
    </row>
    <row r="6" spans="2:4" ht="26.25" x14ac:dyDescent="0.25">
      <c r="B6" s="71" t="s">
        <v>397</v>
      </c>
      <c r="C6" s="71" t="s">
        <v>384</v>
      </c>
      <c r="D6" s="72" t="s">
        <v>385</v>
      </c>
    </row>
    <row r="7" spans="2:4" ht="26.25" x14ac:dyDescent="0.25">
      <c r="B7" s="71" t="s">
        <v>400</v>
      </c>
      <c r="C7" s="71" t="s">
        <v>387</v>
      </c>
      <c r="D7" s="72" t="s">
        <v>388</v>
      </c>
    </row>
    <row r="8" spans="2:4" ht="26.25" x14ac:dyDescent="0.25">
      <c r="B8" s="71" t="s">
        <v>401</v>
      </c>
      <c r="C8" s="71" t="s">
        <v>387</v>
      </c>
      <c r="D8" s="72" t="s">
        <v>389</v>
      </c>
    </row>
    <row r="9" spans="2:4" ht="26.25" x14ac:dyDescent="0.25">
      <c r="B9" s="71" t="s">
        <v>402</v>
      </c>
      <c r="C9" s="71" t="s">
        <v>390</v>
      </c>
      <c r="D9" s="72" t="s">
        <v>391</v>
      </c>
    </row>
    <row r="10" spans="2:4" ht="26.25" x14ac:dyDescent="0.25">
      <c r="B10" s="71" t="s">
        <v>403</v>
      </c>
      <c r="C10" s="71" t="s">
        <v>390</v>
      </c>
      <c r="D10" s="72" t="s">
        <v>392</v>
      </c>
    </row>
    <row r="11" spans="2:4" ht="26.25" x14ac:dyDescent="0.25">
      <c r="B11" s="71" t="s">
        <v>404</v>
      </c>
      <c r="C11" s="71" t="s">
        <v>390</v>
      </c>
      <c r="D11" s="72" t="s">
        <v>276</v>
      </c>
    </row>
    <row r="12" spans="2:4" ht="26.25" x14ac:dyDescent="0.25">
      <c r="B12" s="71" t="s">
        <v>405</v>
      </c>
      <c r="C12" s="71" t="s">
        <v>390</v>
      </c>
      <c r="D12" s="72" t="s">
        <v>277</v>
      </c>
    </row>
    <row r="13" spans="2:4" ht="26.25" x14ac:dyDescent="0.25">
      <c r="B13" s="71" t="s">
        <v>406</v>
      </c>
      <c r="C13" s="71" t="s">
        <v>390</v>
      </c>
      <c r="D13" s="72" t="s">
        <v>385</v>
      </c>
    </row>
    <row r="14" spans="2:4" ht="26.25" x14ac:dyDescent="0.25">
      <c r="B14" s="79" t="s">
        <v>415</v>
      </c>
      <c r="C14" s="71" t="s">
        <v>375</v>
      </c>
      <c r="D14" s="72" t="s">
        <v>391</v>
      </c>
    </row>
    <row r="15" spans="2:4" ht="26.25" x14ac:dyDescent="0.25">
      <c r="B15" s="79" t="s">
        <v>416</v>
      </c>
      <c r="C15" s="71" t="s">
        <v>375</v>
      </c>
      <c r="D15" s="72" t="s">
        <v>392</v>
      </c>
    </row>
    <row r="16" spans="2:4" ht="26.25" x14ac:dyDescent="0.25">
      <c r="B16" s="79" t="s">
        <v>410</v>
      </c>
      <c r="C16" s="71" t="s">
        <v>375</v>
      </c>
      <c r="D16" s="72" t="s">
        <v>276</v>
      </c>
    </row>
    <row r="17" spans="2:4" ht="26.25" x14ac:dyDescent="0.25">
      <c r="B17" s="79" t="s">
        <v>411</v>
      </c>
      <c r="C17" s="71" t="s">
        <v>375</v>
      </c>
      <c r="D17" s="72" t="s">
        <v>277</v>
      </c>
    </row>
    <row r="18" spans="2:4" ht="27" thickBot="1" x14ac:dyDescent="0.3">
      <c r="B18" s="73" t="s">
        <v>412</v>
      </c>
      <c r="C18" s="73" t="s">
        <v>375</v>
      </c>
      <c r="D18" s="72" t="s">
        <v>385</v>
      </c>
    </row>
    <row r="19" spans="2:4" ht="26.25" thickBot="1" x14ac:dyDescent="0.3">
      <c r="B19" s="75"/>
      <c r="C19" s="76"/>
      <c r="D19" s="77"/>
    </row>
    <row r="20" spans="2:4" ht="27" thickBot="1" x14ac:dyDescent="0.3">
      <c r="B20" s="161" t="s">
        <v>407</v>
      </c>
      <c r="C20" s="162"/>
      <c r="D20" s="163"/>
    </row>
    <row r="21" spans="2:4" ht="27" thickBot="1" x14ac:dyDescent="0.3">
      <c r="B21" s="64" t="s">
        <v>396</v>
      </c>
      <c r="C21" s="65" t="s">
        <v>9</v>
      </c>
      <c r="D21" s="66" t="s">
        <v>45</v>
      </c>
    </row>
    <row r="22" spans="2:4" ht="26.25" x14ac:dyDescent="0.25">
      <c r="B22" s="67" t="s">
        <v>408</v>
      </c>
      <c r="C22" s="68" t="s">
        <v>390</v>
      </c>
      <c r="D22" s="69" t="s">
        <v>391</v>
      </c>
    </row>
    <row r="23" spans="2:4" ht="26.25" x14ac:dyDescent="0.25">
      <c r="B23" s="70" t="s">
        <v>409</v>
      </c>
      <c r="C23" s="71" t="s">
        <v>390</v>
      </c>
      <c r="D23" s="72" t="s">
        <v>392</v>
      </c>
    </row>
    <row r="24" spans="2:4" ht="26.25" x14ac:dyDescent="0.25">
      <c r="B24" s="70" t="s">
        <v>413</v>
      </c>
      <c r="C24" s="71" t="s">
        <v>390</v>
      </c>
      <c r="D24" s="72" t="s">
        <v>276</v>
      </c>
    </row>
    <row r="25" spans="2:4" ht="26.25" x14ac:dyDescent="0.25">
      <c r="B25" s="70" t="s">
        <v>414</v>
      </c>
      <c r="C25" s="71" t="s">
        <v>390</v>
      </c>
      <c r="D25" s="72" t="s">
        <v>277</v>
      </c>
    </row>
    <row r="26" spans="2:4" ht="27" thickBot="1" x14ac:dyDescent="0.3">
      <c r="B26" s="80" t="s">
        <v>412</v>
      </c>
      <c r="C26" s="73" t="s">
        <v>390</v>
      </c>
      <c r="D26" s="81" t="s">
        <v>385</v>
      </c>
    </row>
  </sheetData>
  <mergeCells count="2">
    <mergeCell ref="B2:D2"/>
    <mergeCell ref="B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workbookViewId="0">
      <selection activeCell="B6" sqref="B6"/>
    </sheetView>
  </sheetViews>
  <sheetFormatPr defaultRowHeight="18" x14ac:dyDescent="0.25"/>
  <cols>
    <col min="1" max="1" width="7.5703125" style="91" bestFit="1" customWidth="1"/>
    <col min="2" max="2" width="22.5703125" style="91" customWidth="1"/>
    <col min="3" max="3" width="9.7109375" style="91" customWidth="1"/>
    <col min="4" max="4" width="55.28515625" style="91" bestFit="1" customWidth="1"/>
    <col min="5" max="5" width="9.42578125" style="91" customWidth="1"/>
    <col min="6" max="6" width="9.140625" style="91"/>
  </cols>
  <sheetData>
    <row r="1" spans="1:6" ht="46.5" customHeight="1" thickBot="1" x14ac:dyDescent="0.3">
      <c r="A1" s="93" t="s">
        <v>700</v>
      </c>
      <c r="B1" s="96" t="s">
        <v>9</v>
      </c>
      <c r="C1" s="119" t="s">
        <v>46</v>
      </c>
      <c r="D1" s="124" t="s">
        <v>47</v>
      </c>
      <c r="E1" s="120" t="s">
        <v>500</v>
      </c>
      <c r="F1" s="123" t="s">
        <v>46</v>
      </c>
    </row>
    <row r="2" spans="1:6" ht="24.95" customHeight="1" x14ac:dyDescent="0.25">
      <c r="A2" s="112">
        <v>1</v>
      </c>
      <c r="B2" s="114" t="s">
        <v>431</v>
      </c>
      <c r="C2" s="117">
        <v>20</v>
      </c>
      <c r="D2" s="122" t="str">
        <f>IFERROR(INDEX(MASTER!G:G,MATCH(B2,MASTER!F:F,0)),"")</f>
        <v>HW-CTON-THREAD</v>
      </c>
      <c r="E2" s="121" t="str">
        <f>IFERROR(INDEX(MASTER!I:I,MATCH(D2,MASTER!G:G,0)),"")</f>
        <v>NOS</v>
      </c>
      <c r="F2" s="121">
        <f>+C2</f>
        <v>20</v>
      </c>
    </row>
    <row r="3" spans="1:6" ht="24.95" customHeight="1" x14ac:dyDescent="0.25">
      <c r="A3" s="113">
        <v>2</v>
      </c>
      <c r="B3" s="115" t="s">
        <v>433</v>
      </c>
      <c r="C3" s="118">
        <v>100</v>
      </c>
      <c r="D3" s="115" t="str">
        <f>IFERROR(INDEX(MASTER!G:G,MATCH(B3,MASTER!F:F,0)),"")</f>
        <v>FBR-SPK-BR-BRN-KF</v>
      </c>
      <c r="E3" s="121" t="str">
        <f>IFERROR(INDEX(MASTER!I:I,MATCH(D3,MASTER!G:G,0)),"")</f>
        <v>MTR</v>
      </c>
      <c r="F3" s="121">
        <f t="shared" ref="F3:F66" si="0">+C3</f>
        <v>100</v>
      </c>
    </row>
    <row r="4" spans="1:6" ht="24.95" customHeight="1" x14ac:dyDescent="0.25">
      <c r="A4" s="112">
        <v>3</v>
      </c>
      <c r="B4" s="115" t="s">
        <v>555</v>
      </c>
      <c r="C4" s="118"/>
      <c r="D4" s="115" t="str">
        <f>IFERROR(INDEX(MASTER!G:G,MATCH(B4,MASTER!F:F,0)),"")</f>
        <v>RM-THRD-TKT40-BLACK</v>
      </c>
      <c r="E4" s="121" t="str">
        <f>IFERROR(INDEX(MASTER!I:I,MATCH(D4,MASTER!G:G,0)),"")</f>
        <v>NOS</v>
      </c>
      <c r="F4" s="121">
        <f t="shared" si="0"/>
        <v>0</v>
      </c>
    </row>
    <row r="5" spans="1:6" ht="24.95" customHeight="1" x14ac:dyDescent="0.25">
      <c r="A5" s="113">
        <v>4</v>
      </c>
      <c r="B5" s="115" t="s">
        <v>506</v>
      </c>
      <c r="C5" s="118"/>
      <c r="D5" s="115" t="str">
        <f>IFERROR(INDEX(MASTER!G:G,MATCH(B5,MASTER!F:F,0)),"")</f>
        <v>RML-EDTAPE-WHT-KNIT</v>
      </c>
      <c r="E5" s="121" t="str">
        <f>IFERROR(INDEX(MASTER!I:I,MATCH(D5,MASTER!G:G,0)),"")</f>
        <v>MTR</v>
      </c>
      <c r="F5" s="121">
        <f t="shared" si="0"/>
        <v>0</v>
      </c>
    </row>
    <row r="6" spans="1:6" ht="24.95" customHeight="1" x14ac:dyDescent="0.25">
      <c r="A6" s="112">
        <v>5</v>
      </c>
      <c r="B6" s="115"/>
      <c r="C6" s="118"/>
      <c r="D6" s="115" t="str">
        <f>IFERROR(INDEX(MASTER!G:G,MATCH(B6,MASTER!F:F,0)),"")</f>
        <v/>
      </c>
      <c r="E6" s="121" t="str">
        <f>IFERROR(INDEX(MASTER!I:I,MATCH(D6,MASTER!G:G,0)),"")</f>
        <v/>
      </c>
      <c r="F6" s="121">
        <f t="shared" si="0"/>
        <v>0</v>
      </c>
    </row>
    <row r="7" spans="1:6" ht="24.95" customHeight="1" x14ac:dyDescent="0.25">
      <c r="A7" s="113">
        <v>6</v>
      </c>
      <c r="B7" s="115"/>
      <c r="C7" s="118"/>
      <c r="D7" s="115" t="str">
        <f>IFERROR(INDEX(MASTER!G:G,MATCH(B7,MASTER!F:F,0)),"")</f>
        <v/>
      </c>
      <c r="E7" s="121" t="str">
        <f>IFERROR(INDEX(MASTER!I:I,MATCH(D7,MASTER!G:G,0)),"")</f>
        <v/>
      </c>
      <c r="F7" s="121">
        <f t="shared" si="0"/>
        <v>0</v>
      </c>
    </row>
    <row r="8" spans="1:6" ht="24.95" customHeight="1" x14ac:dyDescent="0.25">
      <c r="A8" s="112">
        <v>7</v>
      </c>
      <c r="B8" s="115"/>
      <c r="C8" s="118"/>
      <c r="D8" s="115" t="str">
        <f>IFERROR(INDEX(MASTER!G:G,MATCH(B8,MASTER!F:F,0)),"")</f>
        <v/>
      </c>
      <c r="E8" s="121" t="str">
        <f>IFERROR(INDEX(MASTER!I:I,MATCH(D8,MASTER!G:G,0)),"")</f>
        <v/>
      </c>
      <c r="F8" s="121">
        <f t="shared" si="0"/>
        <v>0</v>
      </c>
    </row>
    <row r="9" spans="1:6" ht="24.95" customHeight="1" x14ac:dyDescent="0.25">
      <c r="A9" s="113">
        <v>8</v>
      </c>
      <c r="B9" s="115"/>
      <c r="C9" s="118"/>
      <c r="D9" s="115" t="str">
        <f>IFERROR(INDEX(MASTER!G:G,MATCH(B9,MASTER!F:F,0)),"")</f>
        <v/>
      </c>
      <c r="E9" s="121" t="str">
        <f>IFERROR(INDEX(MASTER!I:I,MATCH(D9,MASTER!G:G,0)),"")</f>
        <v/>
      </c>
      <c r="F9" s="121">
        <f t="shared" si="0"/>
        <v>0</v>
      </c>
    </row>
    <row r="10" spans="1:6" ht="24.95" customHeight="1" x14ac:dyDescent="0.25">
      <c r="A10" s="112">
        <v>9</v>
      </c>
      <c r="B10" s="115"/>
      <c r="C10" s="118"/>
      <c r="D10" s="115" t="str">
        <f>IFERROR(INDEX(MASTER!G:G,MATCH(B10,MASTER!F:F,0)),"")</f>
        <v/>
      </c>
      <c r="E10" s="121" t="str">
        <f>IFERROR(INDEX(MASTER!I:I,MATCH(D10,MASTER!G:G,0)),"")</f>
        <v/>
      </c>
      <c r="F10" s="121">
        <f t="shared" si="0"/>
        <v>0</v>
      </c>
    </row>
    <row r="11" spans="1:6" ht="24.95" customHeight="1" x14ac:dyDescent="0.25">
      <c r="A11" s="113">
        <v>10</v>
      </c>
      <c r="B11" s="115"/>
      <c r="C11" s="118"/>
      <c r="D11" s="115" t="str">
        <f>IFERROR(INDEX(MASTER!G:G,MATCH(B11,MASTER!F:F,0)),"")</f>
        <v/>
      </c>
      <c r="E11" s="121" t="str">
        <f>IFERROR(INDEX(MASTER!I:I,MATCH(D11,MASTER!G:G,0)),"")</f>
        <v/>
      </c>
      <c r="F11" s="121">
        <f t="shared" si="0"/>
        <v>0</v>
      </c>
    </row>
    <row r="12" spans="1:6" ht="24.95" customHeight="1" x14ac:dyDescent="0.25">
      <c r="A12" s="112">
        <v>11</v>
      </c>
      <c r="B12" s="115"/>
      <c r="C12" s="118"/>
      <c r="D12" s="115" t="str">
        <f>IFERROR(INDEX(MASTER!G:G,MATCH(B12,MASTER!F:F,0)),"")</f>
        <v/>
      </c>
      <c r="E12" s="121" t="str">
        <f>IFERROR(INDEX(MASTER!I:I,MATCH(D12,MASTER!G:G,0)),"")</f>
        <v/>
      </c>
      <c r="F12" s="121">
        <f t="shared" si="0"/>
        <v>0</v>
      </c>
    </row>
    <row r="13" spans="1:6" ht="24.95" customHeight="1" x14ac:dyDescent="0.25">
      <c r="A13" s="113">
        <v>12</v>
      </c>
      <c r="B13" s="115"/>
      <c r="C13" s="118"/>
      <c r="D13" s="115" t="str">
        <f>IFERROR(INDEX(MASTER!G:G,MATCH(B13,MASTER!F:F,0)),"")</f>
        <v/>
      </c>
      <c r="E13" s="121" t="str">
        <f>IFERROR(INDEX(MASTER!I:I,MATCH(D13,MASTER!G:G,0)),"")</f>
        <v/>
      </c>
      <c r="F13" s="121">
        <f t="shared" si="0"/>
        <v>0</v>
      </c>
    </row>
    <row r="14" spans="1:6" ht="24.95" customHeight="1" x14ac:dyDescent="0.25">
      <c r="A14" s="112">
        <v>13</v>
      </c>
      <c r="B14" s="115"/>
      <c r="C14" s="118"/>
      <c r="D14" s="115" t="str">
        <f>IFERROR(INDEX(MASTER!G:G,MATCH(B14,MASTER!F:F,0)),"")</f>
        <v/>
      </c>
      <c r="E14" s="121" t="str">
        <f>IFERROR(INDEX(MASTER!I:I,MATCH(D14,MASTER!G:G,0)),"")</f>
        <v/>
      </c>
      <c r="F14" s="121">
        <f t="shared" si="0"/>
        <v>0</v>
      </c>
    </row>
    <row r="15" spans="1:6" ht="24.95" customHeight="1" x14ac:dyDescent="0.25">
      <c r="A15" s="113">
        <v>14</v>
      </c>
      <c r="B15" s="115"/>
      <c r="C15" s="118"/>
      <c r="D15" s="115" t="str">
        <f>IFERROR(INDEX(MASTER!G:G,MATCH(B15,MASTER!F:F,0)),"")</f>
        <v/>
      </c>
      <c r="E15" s="121" t="str">
        <f>IFERROR(INDEX(MASTER!I:I,MATCH(D15,MASTER!G:G,0)),"")</f>
        <v/>
      </c>
      <c r="F15" s="121">
        <f t="shared" si="0"/>
        <v>0</v>
      </c>
    </row>
    <row r="16" spans="1:6" ht="24.95" customHeight="1" x14ac:dyDescent="0.25">
      <c r="A16" s="112">
        <v>15</v>
      </c>
      <c r="B16" s="115"/>
      <c r="C16" s="118"/>
      <c r="D16" s="115" t="str">
        <f>IFERROR(INDEX(MASTER!G:G,MATCH(B16,MASTER!F:F,0)),"")</f>
        <v/>
      </c>
      <c r="E16" s="121" t="str">
        <f>IFERROR(INDEX(MASTER!I:I,MATCH(D16,MASTER!G:G,0)),"")</f>
        <v/>
      </c>
      <c r="F16" s="121">
        <f t="shared" si="0"/>
        <v>0</v>
      </c>
    </row>
    <row r="17" spans="1:6" ht="24.95" customHeight="1" x14ac:dyDescent="0.25">
      <c r="A17" s="113">
        <v>16</v>
      </c>
      <c r="B17" s="115"/>
      <c r="C17" s="118"/>
      <c r="D17" s="115" t="str">
        <f>IFERROR(INDEX(MASTER!G:G,MATCH(B17,MASTER!F:F,0)),"")</f>
        <v/>
      </c>
      <c r="E17" s="121" t="str">
        <f>IFERROR(INDEX(MASTER!I:I,MATCH(D17,MASTER!G:G,0)),"")</f>
        <v/>
      </c>
      <c r="F17" s="121">
        <f t="shared" si="0"/>
        <v>0</v>
      </c>
    </row>
    <row r="18" spans="1:6" ht="24.95" customHeight="1" x14ac:dyDescent="0.25">
      <c r="A18" s="112">
        <v>17</v>
      </c>
      <c r="B18" s="115"/>
      <c r="C18" s="118"/>
      <c r="D18" s="115" t="str">
        <f>IFERROR(INDEX(MASTER!G:G,MATCH(B18,MASTER!F:F,0)),"")</f>
        <v/>
      </c>
      <c r="E18" s="121" t="str">
        <f>IFERROR(INDEX(MASTER!I:I,MATCH(D18,MASTER!G:G,0)),"")</f>
        <v/>
      </c>
      <c r="F18" s="121">
        <f t="shared" si="0"/>
        <v>0</v>
      </c>
    </row>
    <row r="19" spans="1:6" ht="24.95" customHeight="1" x14ac:dyDescent="0.25">
      <c r="A19" s="113">
        <v>18</v>
      </c>
      <c r="B19" s="115"/>
      <c r="C19" s="118"/>
      <c r="D19" s="115" t="str">
        <f>IFERROR(INDEX(MASTER!G:G,MATCH(B19,MASTER!F:F,0)),"")</f>
        <v/>
      </c>
      <c r="E19" s="121" t="str">
        <f>IFERROR(INDEX(MASTER!I:I,MATCH(D19,MASTER!G:G,0)),"")</f>
        <v/>
      </c>
      <c r="F19" s="121">
        <f t="shared" si="0"/>
        <v>0</v>
      </c>
    </row>
    <row r="20" spans="1:6" ht="24.95" customHeight="1" x14ac:dyDescent="0.25">
      <c r="A20" s="112">
        <v>19</v>
      </c>
      <c r="B20" s="115"/>
      <c r="C20" s="118"/>
      <c r="D20" s="115" t="str">
        <f>IFERROR(INDEX(MASTER!G:G,MATCH(B20,MASTER!F:F,0)),"")</f>
        <v/>
      </c>
      <c r="E20" s="121" t="str">
        <f>IFERROR(INDEX(MASTER!I:I,MATCH(D20,MASTER!G:G,0)),"")</f>
        <v/>
      </c>
      <c r="F20" s="121">
        <f t="shared" si="0"/>
        <v>0</v>
      </c>
    </row>
    <row r="21" spans="1:6" ht="24.95" customHeight="1" x14ac:dyDescent="0.25">
      <c r="A21" s="113">
        <v>20</v>
      </c>
      <c r="B21" s="115"/>
      <c r="C21" s="118"/>
      <c r="D21" s="115" t="str">
        <f>IFERROR(INDEX(MASTER!G:G,MATCH(B21,MASTER!F:F,0)),"")</f>
        <v/>
      </c>
      <c r="E21" s="121" t="str">
        <f>IFERROR(INDEX(MASTER!I:I,MATCH(D21,MASTER!G:G,0)),"")</f>
        <v/>
      </c>
      <c r="F21" s="121">
        <f t="shared" si="0"/>
        <v>0</v>
      </c>
    </row>
    <row r="22" spans="1:6" ht="24.95" customHeight="1" x14ac:dyDescent="0.25">
      <c r="A22" s="112">
        <v>21</v>
      </c>
      <c r="B22" s="115"/>
      <c r="C22" s="118"/>
      <c r="D22" s="115" t="str">
        <f>IFERROR(INDEX(MASTER!G:G,MATCH(B22,MASTER!F:F,0)),"")</f>
        <v/>
      </c>
      <c r="E22" s="121" t="str">
        <f>IFERROR(INDEX(MASTER!I:I,MATCH(D22,MASTER!G:G,0)),"")</f>
        <v/>
      </c>
      <c r="F22" s="121">
        <f t="shared" si="0"/>
        <v>0</v>
      </c>
    </row>
    <row r="23" spans="1:6" ht="24.95" customHeight="1" x14ac:dyDescent="0.25">
      <c r="A23" s="113">
        <v>22</v>
      </c>
      <c r="B23" s="115"/>
      <c r="C23" s="118"/>
      <c r="D23" s="115" t="str">
        <f>IFERROR(INDEX(MASTER!G:G,MATCH(B23,MASTER!F:F,0)),"")</f>
        <v/>
      </c>
      <c r="E23" s="121" t="str">
        <f>IFERROR(INDEX(MASTER!I:I,MATCH(D23,MASTER!G:G,0)),"")</f>
        <v/>
      </c>
      <c r="F23" s="121">
        <f t="shared" si="0"/>
        <v>0</v>
      </c>
    </row>
    <row r="24" spans="1:6" ht="24.95" customHeight="1" x14ac:dyDescent="0.25">
      <c r="A24" s="112">
        <v>23</v>
      </c>
      <c r="B24" s="115"/>
      <c r="C24" s="118"/>
      <c r="D24" s="115" t="str">
        <f>IFERROR(INDEX(MASTER!G:G,MATCH(B24,MASTER!F:F,0)),"")</f>
        <v/>
      </c>
      <c r="E24" s="121" t="str">
        <f>IFERROR(INDEX(MASTER!I:I,MATCH(D24,MASTER!G:G,0)),"")</f>
        <v/>
      </c>
      <c r="F24" s="121">
        <f t="shared" si="0"/>
        <v>0</v>
      </c>
    </row>
    <row r="25" spans="1:6" ht="24.95" customHeight="1" x14ac:dyDescent="0.25">
      <c r="A25" s="113">
        <v>24</v>
      </c>
      <c r="B25" s="115"/>
      <c r="C25" s="118"/>
      <c r="D25" s="115" t="str">
        <f>IFERROR(INDEX(MASTER!G:G,MATCH(B25,MASTER!F:F,0)),"")</f>
        <v/>
      </c>
      <c r="E25" s="121" t="str">
        <f>IFERROR(INDEX(MASTER!I:I,MATCH(D25,MASTER!G:G,0)),"")</f>
        <v/>
      </c>
      <c r="F25" s="121">
        <f t="shared" si="0"/>
        <v>0</v>
      </c>
    </row>
    <row r="26" spans="1:6" ht="24.95" customHeight="1" x14ac:dyDescent="0.25">
      <c r="A26" s="112">
        <v>25</v>
      </c>
      <c r="B26" s="115"/>
      <c r="C26" s="118"/>
      <c r="D26" s="115" t="str">
        <f>IFERROR(INDEX(MASTER!G:G,MATCH(B26,MASTER!F:F,0)),"")</f>
        <v/>
      </c>
      <c r="E26" s="121" t="str">
        <f>IFERROR(INDEX(MASTER!I:I,MATCH(D26,MASTER!G:G,0)),"")</f>
        <v/>
      </c>
      <c r="F26" s="121">
        <f t="shared" si="0"/>
        <v>0</v>
      </c>
    </row>
    <row r="27" spans="1:6" ht="24.95" customHeight="1" x14ac:dyDescent="0.25">
      <c r="A27" s="113">
        <v>26</v>
      </c>
      <c r="B27" s="115"/>
      <c r="C27" s="118"/>
      <c r="D27" s="115" t="str">
        <f>IFERROR(INDEX(MASTER!G:G,MATCH(B27,MASTER!F:F,0)),"")</f>
        <v/>
      </c>
      <c r="E27" s="121" t="str">
        <f>IFERROR(INDEX(MASTER!I:I,MATCH(D27,MASTER!G:G,0)),"")</f>
        <v/>
      </c>
      <c r="F27" s="121">
        <f t="shared" si="0"/>
        <v>0</v>
      </c>
    </row>
    <row r="28" spans="1:6" ht="24.95" customHeight="1" x14ac:dyDescent="0.25">
      <c r="A28" s="112">
        <v>27</v>
      </c>
      <c r="B28" s="115"/>
      <c r="C28" s="118"/>
      <c r="D28" s="115" t="str">
        <f>IFERROR(INDEX(MASTER!G:G,MATCH(B28,MASTER!F:F,0)),"")</f>
        <v/>
      </c>
      <c r="E28" s="121" t="str">
        <f>IFERROR(INDEX(MASTER!I:I,MATCH(D28,MASTER!G:G,0)),"")</f>
        <v/>
      </c>
      <c r="F28" s="121">
        <f t="shared" si="0"/>
        <v>0</v>
      </c>
    </row>
    <row r="29" spans="1:6" ht="24.95" customHeight="1" x14ac:dyDescent="0.25">
      <c r="A29" s="113">
        <v>28</v>
      </c>
      <c r="B29" s="115"/>
      <c r="C29" s="118"/>
      <c r="D29" s="115" t="str">
        <f>IFERROR(INDEX(MASTER!G:G,MATCH(B29,MASTER!F:F,0)),"")</f>
        <v/>
      </c>
      <c r="E29" s="121" t="str">
        <f>IFERROR(INDEX(MASTER!I:I,MATCH(D29,MASTER!G:G,0)),"")</f>
        <v/>
      </c>
      <c r="F29" s="121">
        <f t="shared" si="0"/>
        <v>0</v>
      </c>
    </row>
    <row r="30" spans="1:6" ht="24.95" customHeight="1" x14ac:dyDescent="0.25">
      <c r="A30" s="112">
        <v>29</v>
      </c>
      <c r="B30" s="115"/>
      <c r="C30" s="118"/>
      <c r="D30" s="115" t="str">
        <f>IFERROR(INDEX(MASTER!G:G,MATCH(B30,MASTER!F:F,0)),"")</f>
        <v/>
      </c>
      <c r="E30" s="121" t="str">
        <f>IFERROR(INDEX(MASTER!I:I,MATCH(D30,MASTER!G:G,0)),"")</f>
        <v/>
      </c>
      <c r="F30" s="121">
        <f t="shared" si="0"/>
        <v>0</v>
      </c>
    </row>
    <row r="31" spans="1:6" ht="24.95" customHeight="1" x14ac:dyDescent="0.25">
      <c r="A31" s="113">
        <v>30</v>
      </c>
      <c r="B31" s="115"/>
      <c r="C31" s="118"/>
      <c r="D31" s="115" t="str">
        <f>IFERROR(INDEX(MASTER!G:G,MATCH(B31,MASTER!F:F,0)),"")</f>
        <v/>
      </c>
      <c r="E31" s="121" t="str">
        <f>IFERROR(INDEX(MASTER!I:I,MATCH(D31,MASTER!G:G,0)),"")</f>
        <v/>
      </c>
      <c r="F31" s="121">
        <f t="shared" si="0"/>
        <v>0</v>
      </c>
    </row>
    <row r="32" spans="1:6" ht="24.95" customHeight="1" x14ac:dyDescent="0.25">
      <c r="A32" s="112">
        <v>31</v>
      </c>
      <c r="B32" s="115"/>
      <c r="C32" s="118"/>
      <c r="D32" s="115" t="str">
        <f>IFERROR(INDEX(MASTER!G:G,MATCH(B32,MASTER!F:F,0)),"")</f>
        <v/>
      </c>
      <c r="E32" s="121" t="str">
        <f>IFERROR(INDEX(MASTER!I:I,MATCH(D32,MASTER!G:G,0)),"")</f>
        <v/>
      </c>
      <c r="F32" s="121">
        <f t="shared" si="0"/>
        <v>0</v>
      </c>
    </row>
    <row r="33" spans="1:6" ht="24.95" customHeight="1" x14ac:dyDescent="0.25">
      <c r="A33" s="113">
        <v>32</v>
      </c>
      <c r="B33" s="115"/>
      <c r="C33" s="118"/>
      <c r="D33" s="115" t="str">
        <f>IFERROR(INDEX(MASTER!G:G,MATCH(B33,MASTER!F:F,0)),"")</f>
        <v/>
      </c>
      <c r="E33" s="121" t="str">
        <f>IFERROR(INDEX(MASTER!I:I,MATCH(D33,MASTER!G:G,0)),"")</f>
        <v/>
      </c>
      <c r="F33" s="121">
        <f t="shared" si="0"/>
        <v>0</v>
      </c>
    </row>
    <row r="34" spans="1:6" ht="24.95" customHeight="1" x14ac:dyDescent="0.25">
      <c r="A34" s="112">
        <v>33</v>
      </c>
      <c r="B34" s="115"/>
      <c r="C34" s="118"/>
      <c r="D34" s="115" t="str">
        <f>IFERROR(INDEX(MASTER!G:G,MATCH(B34,MASTER!F:F,0)),"")</f>
        <v/>
      </c>
      <c r="E34" s="121" t="str">
        <f>IFERROR(INDEX(MASTER!I:I,MATCH(D34,MASTER!G:G,0)),"")</f>
        <v/>
      </c>
      <c r="F34" s="121">
        <f t="shared" si="0"/>
        <v>0</v>
      </c>
    </row>
    <row r="35" spans="1:6" ht="24.95" customHeight="1" x14ac:dyDescent="0.25">
      <c r="A35" s="113">
        <v>34</v>
      </c>
      <c r="B35" s="115"/>
      <c r="C35" s="118"/>
      <c r="D35" s="115" t="str">
        <f>IFERROR(INDEX(MASTER!G:G,MATCH(B35,MASTER!F:F,0)),"")</f>
        <v/>
      </c>
      <c r="E35" s="121" t="str">
        <f>IFERROR(INDEX(MASTER!I:I,MATCH(D35,MASTER!G:G,0)),"")</f>
        <v/>
      </c>
      <c r="F35" s="121">
        <f t="shared" si="0"/>
        <v>0</v>
      </c>
    </row>
    <row r="36" spans="1:6" ht="24.95" customHeight="1" x14ac:dyDescent="0.25">
      <c r="A36" s="112">
        <v>35</v>
      </c>
      <c r="B36" s="115"/>
      <c r="C36" s="118"/>
      <c r="D36" s="115" t="str">
        <f>IFERROR(INDEX(MASTER!G:G,MATCH(B36,MASTER!F:F,0)),"")</f>
        <v/>
      </c>
      <c r="E36" s="121" t="str">
        <f>IFERROR(INDEX(MASTER!I:I,MATCH(D36,MASTER!G:G,0)),"")</f>
        <v/>
      </c>
      <c r="F36" s="121">
        <f t="shared" si="0"/>
        <v>0</v>
      </c>
    </row>
    <row r="37" spans="1:6" ht="24.95" customHeight="1" x14ac:dyDescent="0.25">
      <c r="A37" s="113">
        <v>36</v>
      </c>
      <c r="B37" s="115"/>
      <c r="C37" s="118"/>
      <c r="D37" s="115" t="str">
        <f>IFERROR(INDEX(MASTER!G:G,MATCH(B37,MASTER!F:F,0)),"")</f>
        <v/>
      </c>
      <c r="E37" s="121" t="str">
        <f>IFERROR(INDEX(MASTER!I:I,MATCH(D37,MASTER!G:G,0)),"")</f>
        <v/>
      </c>
      <c r="F37" s="121">
        <f t="shared" si="0"/>
        <v>0</v>
      </c>
    </row>
    <row r="38" spans="1:6" ht="24.95" customHeight="1" x14ac:dyDescent="0.25">
      <c r="A38" s="112">
        <v>37</v>
      </c>
      <c r="B38" s="115"/>
      <c r="C38" s="118"/>
      <c r="D38" s="115" t="str">
        <f>IFERROR(INDEX(MASTER!G:G,MATCH(B38,MASTER!F:F,0)),"")</f>
        <v/>
      </c>
      <c r="E38" s="121" t="str">
        <f>IFERROR(INDEX(MASTER!I:I,MATCH(D38,MASTER!G:G,0)),"")</f>
        <v/>
      </c>
      <c r="F38" s="121">
        <f t="shared" si="0"/>
        <v>0</v>
      </c>
    </row>
    <row r="39" spans="1:6" ht="24.95" customHeight="1" x14ac:dyDescent="0.25">
      <c r="A39" s="113">
        <v>38</v>
      </c>
      <c r="B39" s="115"/>
      <c r="C39" s="118"/>
      <c r="D39" s="115" t="str">
        <f>IFERROR(INDEX(MASTER!G:G,MATCH(B39,MASTER!F:F,0)),"")</f>
        <v/>
      </c>
      <c r="E39" s="121" t="str">
        <f>IFERROR(INDEX(MASTER!I:I,MATCH(D39,MASTER!G:G,0)),"")</f>
        <v/>
      </c>
      <c r="F39" s="121">
        <f t="shared" si="0"/>
        <v>0</v>
      </c>
    </row>
    <row r="40" spans="1:6" ht="24.95" customHeight="1" x14ac:dyDescent="0.25">
      <c r="A40" s="112">
        <v>39</v>
      </c>
      <c r="B40" s="115"/>
      <c r="C40" s="118"/>
      <c r="D40" s="115" t="str">
        <f>IFERROR(INDEX(MASTER!G:G,MATCH(B40,MASTER!F:F,0)),"")</f>
        <v/>
      </c>
      <c r="E40" s="121" t="str">
        <f>IFERROR(INDEX(MASTER!I:I,MATCH(D40,MASTER!G:G,0)),"")</f>
        <v/>
      </c>
      <c r="F40" s="121">
        <f t="shared" si="0"/>
        <v>0</v>
      </c>
    </row>
    <row r="41" spans="1:6" ht="24.95" customHeight="1" x14ac:dyDescent="0.25">
      <c r="A41" s="113">
        <v>40</v>
      </c>
      <c r="B41" s="115"/>
      <c r="C41" s="118"/>
      <c r="D41" s="115" t="str">
        <f>IFERROR(INDEX(MASTER!G:G,MATCH(B41,MASTER!F:F,0)),"")</f>
        <v/>
      </c>
      <c r="E41" s="121" t="str">
        <f>IFERROR(INDEX(MASTER!I:I,MATCH(D41,MASTER!G:G,0)),"")</f>
        <v/>
      </c>
      <c r="F41" s="121">
        <f t="shared" si="0"/>
        <v>0</v>
      </c>
    </row>
    <row r="42" spans="1:6" ht="24.95" customHeight="1" x14ac:dyDescent="0.25">
      <c r="A42" s="112">
        <v>41</v>
      </c>
      <c r="B42" s="115"/>
      <c r="C42" s="118"/>
      <c r="D42" s="115" t="str">
        <f>IFERROR(INDEX(MASTER!G:G,MATCH(B42,MASTER!F:F,0)),"")</f>
        <v/>
      </c>
      <c r="E42" s="121" t="str">
        <f>IFERROR(INDEX(MASTER!I:I,MATCH(D42,MASTER!G:G,0)),"")</f>
        <v/>
      </c>
      <c r="F42" s="121">
        <f t="shared" si="0"/>
        <v>0</v>
      </c>
    </row>
    <row r="43" spans="1:6" ht="24.95" customHeight="1" x14ac:dyDescent="0.25">
      <c r="A43" s="113">
        <v>42</v>
      </c>
      <c r="B43" s="115"/>
      <c r="C43" s="118"/>
      <c r="D43" s="115" t="str">
        <f>IFERROR(INDEX(MASTER!G:G,MATCH(B43,MASTER!F:F,0)),"")</f>
        <v/>
      </c>
      <c r="E43" s="121" t="str">
        <f>IFERROR(INDEX(MASTER!I:I,MATCH(D43,MASTER!G:G,0)),"")</f>
        <v/>
      </c>
      <c r="F43" s="121">
        <f t="shared" si="0"/>
        <v>0</v>
      </c>
    </row>
    <row r="44" spans="1:6" ht="24.95" customHeight="1" x14ac:dyDescent="0.25">
      <c r="A44" s="112">
        <v>43</v>
      </c>
      <c r="B44" s="115"/>
      <c r="C44" s="118"/>
      <c r="D44" s="115" t="str">
        <f>IFERROR(INDEX(MASTER!G:G,MATCH(B44,MASTER!F:F,0)),"")</f>
        <v/>
      </c>
      <c r="E44" s="121" t="str">
        <f>IFERROR(INDEX(MASTER!I:I,MATCH(D44,MASTER!G:G,0)),"")</f>
        <v/>
      </c>
      <c r="F44" s="121">
        <f t="shared" si="0"/>
        <v>0</v>
      </c>
    </row>
    <row r="45" spans="1:6" ht="24.95" customHeight="1" x14ac:dyDescent="0.25">
      <c r="A45" s="113">
        <v>44</v>
      </c>
      <c r="B45" s="115"/>
      <c r="C45" s="118"/>
      <c r="D45" s="115" t="str">
        <f>IFERROR(INDEX(MASTER!G:G,MATCH(B45,MASTER!F:F,0)),"")</f>
        <v/>
      </c>
      <c r="E45" s="121" t="str">
        <f>IFERROR(INDEX(MASTER!I:I,MATCH(D45,MASTER!G:G,0)),"")</f>
        <v/>
      </c>
      <c r="F45" s="121">
        <f t="shared" si="0"/>
        <v>0</v>
      </c>
    </row>
    <row r="46" spans="1:6" ht="24.95" customHeight="1" x14ac:dyDescent="0.25">
      <c r="A46" s="112">
        <v>45</v>
      </c>
      <c r="B46" s="115"/>
      <c r="C46" s="118"/>
      <c r="D46" s="115" t="str">
        <f>IFERROR(INDEX(MASTER!G:G,MATCH(B46,MASTER!F:F,0)),"")</f>
        <v/>
      </c>
      <c r="E46" s="121" t="str">
        <f>IFERROR(INDEX(MASTER!I:I,MATCH(D46,MASTER!G:G,0)),"")</f>
        <v/>
      </c>
      <c r="F46" s="121">
        <f t="shared" si="0"/>
        <v>0</v>
      </c>
    </row>
    <row r="47" spans="1:6" ht="24.95" customHeight="1" x14ac:dyDescent="0.25">
      <c r="A47" s="113">
        <v>46</v>
      </c>
      <c r="B47" s="115"/>
      <c r="C47" s="118"/>
      <c r="D47" s="115" t="str">
        <f>IFERROR(INDEX(MASTER!G:G,MATCH(B47,MASTER!F:F,0)),"")</f>
        <v/>
      </c>
      <c r="E47" s="121" t="str">
        <f>IFERROR(INDEX(MASTER!I:I,MATCH(D47,MASTER!G:G,0)),"")</f>
        <v/>
      </c>
      <c r="F47" s="121">
        <f t="shared" si="0"/>
        <v>0</v>
      </c>
    </row>
    <row r="48" spans="1:6" ht="24.95" customHeight="1" x14ac:dyDescent="0.25">
      <c r="A48" s="112">
        <v>47</v>
      </c>
      <c r="B48" s="115"/>
      <c r="C48" s="118"/>
      <c r="D48" s="115" t="str">
        <f>IFERROR(INDEX(MASTER!G:G,MATCH(B48,MASTER!F:F,0)),"")</f>
        <v/>
      </c>
      <c r="E48" s="121" t="str">
        <f>IFERROR(INDEX(MASTER!I:I,MATCH(D48,MASTER!G:G,0)),"")</f>
        <v/>
      </c>
      <c r="F48" s="121">
        <f t="shared" si="0"/>
        <v>0</v>
      </c>
    </row>
    <row r="49" spans="1:6" ht="24.95" customHeight="1" x14ac:dyDescent="0.25">
      <c r="A49" s="113">
        <v>48</v>
      </c>
      <c r="B49" s="115"/>
      <c r="C49" s="118"/>
      <c r="D49" s="115" t="str">
        <f>IFERROR(INDEX(MASTER!G:G,MATCH(B49,MASTER!F:F,0)),"")</f>
        <v/>
      </c>
      <c r="E49" s="121" t="str">
        <f>IFERROR(INDEX(MASTER!I:I,MATCH(D49,MASTER!G:G,0)),"")</f>
        <v/>
      </c>
      <c r="F49" s="121">
        <f t="shared" si="0"/>
        <v>0</v>
      </c>
    </row>
    <row r="50" spans="1:6" ht="24.95" customHeight="1" x14ac:dyDescent="0.25">
      <c r="A50" s="112">
        <v>49</v>
      </c>
      <c r="B50" s="115"/>
      <c r="C50" s="118"/>
      <c r="D50" s="115" t="str">
        <f>IFERROR(INDEX(MASTER!G:G,MATCH(B50,MASTER!F:F,0)),"")</f>
        <v/>
      </c>
      <c r="E50" s="121" t="str">
        <f>IFERROR(INDEX(MASTER!I:I,MATCH(D50,MASTER!G:G,0)),"")</f>
        <v/>
      </c>
      <c r="F50" s="121">
        <f t="shared" si="0"/>
        <v>0</v>
      </c>
    </row>
    <row r="51" spans="1:6" ht="24.95" customHeight="1" x14ac:dyDescent="0.25">
      <c r="A51" s="113">
        <v>50</v>
      </c>
      <c r="B51" s="115"/>
      <c r="C51" s="118"/>
      <c r="D51" s="115" t="str">
        <f>IFERROR(INDEX(MASTER!G:G,MATCH(B51,MASTER!F:F,0)),"")</f>
        <v/>
      </c>
      <c r="E51" s="121" t="str">
        <f>IFERROR(INDEX(MASTER!I:I,MATCH(D51,MASTER!G:G,0)),"")</f>
        <v/>
      </c>
      <c r="F51" s="121">
        <f t="shared" si="0"/>
        <v>0</v>
      </c>
    </row>
    <row r="52" spans="1:6" ht="24.95" customHeight="1" x14ac:dyDescent="0.25">
      <c r="A52" s="112">
        <v>51</v>
      </c>
      <c r="B52" s="115"/>
      <c r="C52" s="118"/>
      <c r="D52" s="115" t="str">
        <f>IFERROR(INDEX(MASTER!G:G,MATCH(B52,MASTER!F:F,0)),"")</f>
        <v/>
      </c>
      <c r="E52" s="121" t="str">
        <f>IFERROR(INDEX(MASTER!I:I,MATCH(D52,MASTER!G:G,0)),"")</f>
        <v/>
      </c>
      <c r="F52" s="121">
        <f t="shared" si="0"/>
        <v>0</v>
      </c>
    </row>
    <row r="53" spans="1:6" ht="24.95" customHeight="1" x14ac:dyDescent="0.25">
      <c r="A53" s="113">
        <v>52</v>
      </c>
      <c r="B53" s="115"/>
      <c r="C53" s="118"/>
      <c r="D53" s="115" t="str">
        <f>IFERROR(INDEX(MASTER!G:G,MATCH(B53,MASTER!F:F,0)),"")</f>
        <v/>
      </c>
      <c r="E53" s="121" t="str">
        <f>IFERROR(INDEX(MASTER!I:I,MATCH(D53,MASTER!G:G,0)),"")</f>
        <v/>
      </c>
      <c r="F53" s="121">
        <f t="shared" si="0"/>
        <v>0</v>
      </c>
    </row>
    <row r="54" spans="1:6" ht="24.95" customHeight="1" x14ac:dyDescent="0.25">
      <c r="A54" s="112">
        <v>53</v>
      </c>
      <c r="B54" s="115"/>
      <c r="C54" s="118"/>
      <c r="D54" s="115" t="str">
        <f>IFERROR(INDEX(MASTER!G:G,MATCH(B54,MASTER!F:F,0)),"")</f>
        <v/>
      </c>
      <c r="E54" s="121" t="str">
        <f>IFERROR(INDEX(MASTER!I:I,MATCH(D54,MASTER!G:G,0)),"")</f>
        <v/>
      </c>
      <c r="F54" s="121">
        <f t="shared" si="0"/>
        <v>0</v>
      </c>
    </row>
    <row r="55" spans="1:6" ht="24.95" customHeight="1" x14ac:dyDescent="0.25">
      <c r="A55" s="113">
        <v>54</v>
      </c>
      <c r="B55" s="115"/>
      <c r="C55" s="118"/>
      <c r="D55" s="115" t="str">
        <f>IFERROR(INDEX(MASTER!G:G,MATCH(B55,MASTER!F:F,0)),"")</f>
        <v/>
      </c>
      <c r="E55" s="121" t="str">
        <f>IFERROR(INDEX(MASTER!I:I,MATCH(D55,MASTER!G:G,0)),"")</f>
        <v/>
      </c>
      <c r="F55" s="121">
        <f t="shared" si="0"/>
        <v>0</v>
      </c>
    </row>
    <row r="56" spans="1:6" ht="24.95" customHeight="1" x14ac:dyDescent="0.25">
      <c r="A56" s="112">
        <v>55</v>
      </c>
      <c r="B56" s="115"/>
      <c r="C56" s="118"/>
      <c r="D56" s="115" t="str">
        <f>IFERROR(INDEX(MASTER!G:G,MATCH(B56,MASTER!F:F,0)),"")</f>
        <v/>
      </c>
      <c r="E56" s="121" t="str">
        <f>IFERROR(INDEX(MASTER!I:I,MATCH(D56,MASTER!G:G,0)),"")</f>
        <v/>
      </c>
      <c r="F56" s="121">
        <f t="shared" si="0"/>
        <v>0</v>
      </c>
    </row>
    <row r="57" spans="1:6" ht="24.95" customHeight="1" x14ac:dyDescent="0.25">
      <c r="A57" s="113">
        <v>56</v>
      </c>
      <c r="B57" s="115"/>
      <c r="C57" s="118"/>
      <c r="D57" s="115" t="str">
        <f>IFERROR(INDEX(MASTER!G:G,MATCH(B57,MASTER!F:F,0)),"")</f>
        <v/>
      </c>
      <c r="E57" s="121" t="str">
        <f>IFERROR(INDEX(MASTER!I:I,MATCH(D57,MASTER!G:G,0)),"")</f>
        <v/>
      </c>
      <c r="F57" s="121">
        <f t="shared" si="0"/>
        <v>0</v>
      </c>
    </row>
    <row r="58" spans="1:6" ht="24.95" customHeight="1" x14ac:dyDescent="0.25">
      <c r="A58" s="112">
        <v>57</v>
      </c>
      <c r="B58" s="115"/>
      <c r="C58" s="118"/>
      <c r="D58" s="115" t="str">
        <f>IFERROR(INDEX(MASTER!G:G,MATCH(B58,MASTER!F:F,0)),"")</f>
        <v/>
      </c>
      <c r="E58" s="121" t="str">
        <f>IFERROR(INDEX(MASTER!I:I,MATCH(D58,MASTER!G:G,0)),"")</f>
        <v/>
      </c>
      <c r="F58" s="121">
        <f t="shared" si="0"/>
        <v>0</v>
      </c>
    </row>
    <row r="59" spans="1:6" ht="24.95" customHeight="1" x14ac:dyDescent="0.25">
      <c r="A59" s="113">
        <v>58</v>
      </c>
      <c r="B59" s="115"/>
      <c r="C59" s="118"/>
      <c r="D59" s="115" t="str">
        <f>IFERROR(INDEX(MASTER!G:G,MATCH(B59,MASTER!F:F,0)),"")</f>
        <v/>
      </c>
      <c r="E59" s="121" t="str">
        <f>IFERROR(INDEX(MASTER!I:I,MATCH(D59,MASTER!G:G,0)),"")</f>
        <v/>
      </c>
      <c r="F59" s="121">
        <f t="shared" si="0"/>
        <v>0</v>
      </c>
    </row>
    <row r="60" spans="1:6" ht="24.95" customHeight="1" x14ac:dyDescent="0.25">
      <c r="A60" s="112">
        <v>59</v>
      </c>
      <c r="B60" s="115"/>
      <c r="C60" s="118"/>
      <c r="D60" s="115" t="str">
        <f>IFERROR(INDEX(MASTER!G:G,MATCH(B60,MASTER!F:F,0)),"")</f>
        <v/>
      </c>
      <c r="E60" s="121" t="str">
        <f>IFERROR(INDEX(MASTER!I:I,MATCH(D60,MASTER!G:G,0)),"")</f>
        <v/>
      </c>
      <c r="F60" s="121">
        <f t="shared" si="0"/>
        <v>0</v>
      </c>
    </row>
    <row r="61" spans="1:6" ht="24.95" customHeight="1" x14ac:dyDescent="0.25">
      <c r="A61" s="113">
        <v>60</v>
      </c>
      <c r="B61" s="115"/>
      <c r="C61" s="118"/>
      <c r="D61" s="115" t="str">
        <f>IFERROR(INDEX(MASTER!G:G,MATCH(B61,MASTER!F:F,0)),"")</f>
        <v/>
      </c>
      <c r="E61" s="121" t="str">
        <f>IFERROR(INDEX(MASTER!I:I,MATCH(D61,MASTER!G:G,0)),"")</f>
        <v/>
      </c>
      <c r="F61" s="121">
        <f t="shared" si="0"/>
        <v>0</v>
      </c>
    </row>
    <row r="62" spans="1:6" ht="24.95" customHeight="1" x14ac:dyDescent="0.25">
      <c r="A62" s="112">
        <v>61</v>
      </c>
      <c r="B62" s="115"/>
      <c r="C62" s="118"/>
      <c r="D62" s="115" t="str">
        <f>IFERROR(INDEX(MASTER!G:G,MATCH(B62,MASTER!F:F,0)),"")</f>
        <v/>
      </c>
      <c r="E62" s="121" t="str">
        <f>IFERROR(INDEX(MASTER!I:I,MATCH(D62,MASTER!G:G,0)),"")</f>
        <v/>
      </c>
      <c r="F62" s="121">
        <f t="shared" si="0"/>
        <v>0</v>
      </c>
    </row>
    <row r="63" spans="1:6" ht="24.95" customHeight="1" x14ac:dyDescent="0.25">
      <c r="A63" s="113">
        <v>62</v>
      </c>
      <c r="B63" s="115"/>
      <c r="C63" s="118"/>
      <c r="D63" s="115" t="str">
        <f>IFERROR(INDEX(MASTER!G:G,MATCH(B63,MASTER!F:F,0)),"")</f>
        <v/>
      </c>
      <c r="E63" s="121" t="str">
        <f>IFERROR(INDEX(MASTER!I:I,MATCH(D63,MASTER!G:G,0)),"")</f>
        <v/>
      </c>
      <c r="F63" s="121">
        <f t="shared" si="0"/>
        <v>0</v>
      </c>
    </row>
    <row r="64" spans="1:6" ht="24.95" customHeight="1" x14ac:dyDescent="0.25">
      <c r="A64" s="112">
        <v>63</v>
      </c>
      <c r="B64" s="115"/>
      <c r="C64" s="118"/>
      <c r="D64" s="115" t="str">
        <f>IFERROR(INDEX(MASTER!G:G,MATCH(B64,MASTER!F:F,0)),"")</f>
        <v/>
      </c>
      <c r="E64" s="121" t="str">
        <f>IFERROR(INDEX(MASTER!I:I,MATCH(D64,MASTER!G:G,0)),"")</f>
        <v/>
      </c>
      <c r="F64" s="121">
        <f t="shared" si="0"/>
        <v>0</v>
      </c>
    </row>
    <row r="65" spans="1:6" ht="24.95" customHeight="1" x14ac:dyDescent="0.25">
      <c r="A65" s="113">
        <v>64</v>
      </c>
      <c r="B65" s="115"/>
      <c r="C65" s="118"/>
      <c r="D65" s="115" t="str">
        <f>IFERROR(INDEX(MASTER!G:G,MATCH(B65,MASTER!F:F,0)),"")</f>
        <v/>
      </c>
      <c r="E65" s="121" t="str">
        <f>IFERROR(INDEX(MASTER!I:I,MATCH(D65,MASTER!G:G,0)),"")</f>
        <v/>
      </c>
      <c r="F65" s="121">
        <f t="shared" si="0"/>
        <v>0</v>
      </c>
    </row>
    <row r="66" spans="1:6" ht="24.95" customHeight="1" x14ac:dyDescent="0.25">
      <c r="A66" s="112">
        <v>65</v>
      </c>
      <c r="B66" s="115"/>
      <c r="C66" s="118"/>
      <c r="D66" s="115" t="str">
        <f>IFERROR(INDEX(MASTER!G:G,MATCH(B66,MASTER!F:F,0)),"")</f>
        <v/>
      </c>
      <c r="E66" s="121" t="str">
        <f>IFERROR(INDEX(MASTER!I:I,MATCH(D66,MASTER!G:G,0)),"")</f>
        <v/>
      </c>
      <c r="F66" s="121">
        <f t="shared" si="0"/>
        <v>0</v>
      </c>
    </row>
    <row r="67" spans="1:6" ht="24.95" customHeight="1" x14ac:dyDescent="0.25">
      <c r="A67" s="113">
        <v>66</v>
      </c>
      <c r="B67" s="115"/>
      <c r="C67" s="118"/>
      <c r="D67" s="115" t="str">
        <f>IFERROR(INDEX(MASTER!G:G,MATCH(B67,MASTER!F:F,0)),"")</f>
        <v/>
      </c>
      <c r="E67" s="121" t="str">
        <f>IFERROR(INDEX(MASTER!I:I,MATCH(D67,MASTER!G:G,0)),"")</f>
        <v/>
      </c>
      <c r="F67" s="121">
        <f t="shared" ref="F67:F130" si="1">+C67</f>
        <v>0</v>
      </c>
    </row>
    <row r="68" spans="1:6" ht="24.95" customHeight="1" x14ac:dyDescent="0.25">
      <c r="A68" s="112">
        <v>67</v>
      </c>
      <c r="B68" s="115"/>
      <c r="C68" s="118"/>
      <c r="D68" s="115" t="str">
        <f>IFERROR(INDEX(MASTER!G:G,MATCH(B68,MASTER!F:F,0)),"")</f>
        <v/>
      </c>
      <c r="E68" s="121" t="str">
        <f>IFERROR(INDEX(MASTER!I:I,MATCH(D68,MASTER!G:G,0)),"")</f>
        <v/>
      </c>
      <c r="F68" s="121">
        <f t="shared" si="1"/>
        <v>0</v>
      </c>
    </row>
    <row r="69" spans="1:6" ht="24.95" customHeight="1" x14ac:dyDescent="0.25">
      <c r="A69" s="113">
        <v>68</v>
      </c>
      <c r="B69" s="115"/>
      <c r="C69" s="118"/>
      <c r="D69" s="115" t="str">
        <f>IFERROR(INDEX(MASTER!G:G,MATCH(B69,MASTER!F:F,0)),"")</f>
        <v/>
      </c>
      <c r="E69" s="121" t="str">
        <f>IFERROR(INDEX(MASTER!I:I,MATCH(D69,MASTER!G:G,0)),"")</f>
        <v/>
      </c>
      <c r="F69" s="121">
        <f t="shared" si="1"/>
        <v>0</v>
      </c>
    </row>
    <row r="70" spans="1:6" ht="24.95" customHeight="1" x14ac:dyDescent="0.25">
      <c r="A70" s="112">
        <v>69</v>
      </c>
      <c r="B70" s="115"/>
      <c r="C70" s="118"/>
      <c r="D70" s="115" t="str">
        <f>IFERROR(INDEX(MASTER!G:G,MATCH(B70,MASTER!F:F,0)),"")</f>
        <v/>
      </c>
      <c r="E70" s="121" t="str">
        <f>IFERROR(INDEX(MASTER!I:I,MATCH(D70,MASTER!G:G,0)),"")</f>
        <v/>
      </c>
      <c r="F70" s="121">
        <f t="shared" si="1"/>
        <v>0</v>
      </c>
    </row>
    <row r="71" spans="1:6" ht="24.95" customHeight="1" x14ac:dyDescent="0.25">
      <c r="A71" s="113">
        <v>70</v>
      </c>
      <c r="B71" s="115"/>
      <c r="C71" s="118"/>
      <c r="D71" s="115" t="str">
        <f>IFERROR(INDEX(MASTER!G:G,MATCH(B71,MASTER!F:F,0)),"")</f>
        <v/>
      </c>
      <c r="E71" s="121" t="str">
        <f>IFERROR(INDEX(MASTER!I:I,MATCH(D71,MASTER!G:G,0)),"")</f>
        <v/>
      </c>
      <c r="F71" s="121">
        <f t="shared" si="1"/>
        <v>0</v>
      </c>
    </row>
    <row r="72" spans="1:6" ht="24.95" customHeight="1" x14ac:dyDescent="0.25">
      <c r="A72" s="112">
        <v>71</v>
      </c>
      <c r="B72" s="115"/>
      <c r="C72" s="118"/>
      <c r="D72" s="115" t="str">
        <f>IFERROR(INDEX(MASTER!G:G,MATCH(B72,MASTER!F:F,0)),"")</f>
        <v/>
      </c>
      <c r="E72" s="121" t="str">
        <f>IFERROR(INDEX(MASTER!I:I,MATCH(D72,MASTER!G:G,0)),"")</f>
        <v/>
      </c>
      <c r="F72" s="121">
        <f t="shared" si="1"/>
        <v>0</v>
      </c>
    </row>
    <row r="73" spans="1:6" ht="24.95" customHeight="1" x14ac:dyDescent="0.25">
      <c r="A73" s="113">
        <v>72</v>
      </c>
      <c r="B73" s="115"/>
      <c r="C73" s="118"/>
      <c r="D73" s="115" t="str">
        <f>IFERROR(INDEX(MASTER!G:G,MATCH(B73,MASTER!F:F,0)),"")</f>
        <v/>
      </c>
      <c r="E73" s="121" t="str">
        <f>IFERROR(INDEX(MASTER!I:I,MATCH(D73,MASTER!G:G,0)),"")</f>
        <v/>
      </c>
      <c r="F73" s="121">
        <f t="shared" si="1"/>
        <v>0</v>
      </c>
    </row>
    <row r="74" spans="1:6" ht="24.95" customHeight="1" x14ac:dyDescent="0.25">
      <c r="A74" s="112">
        <v>73</v>
      </c>
      <c r="B74" s="115"/>
      <c r="C74" s="118"/>
      <c r="D74" s="115" t="str">
        <f>IFERROR(INDEX(MASTER!G:G,MATCH(B74,MASTER!F:F,0)),"")</f>
        <v/>
      </c>
      <c r="E74" s="121" t="str">
        <f>IFERROR(INDEX(MASTER!I:I,MATCH(D74,MASTER!G:G,0)),"")</f>
        <v/>
      </c>
      <c r="F74" s="121">
        <f t="shared" si="1"/>
        <v>0</v>
      </c>
    </row>
    <row r="75" spans="1:6" ht="24.95" customHeight="1" x14ac:dyDescent="0.25">
      <c r="A75" s="113">
        <v>74</v>
      </c>
      <c r="B75" s="115"/>
      <c r="C75" s="118"/>
      <c r="D75" s="115" t="str">
        <f>IFERROR(INDEX(MASTER!G:G,MATCH(B75,MASTER!F:F,0)),"")</f>
        <v/>
      </c>
      <c r="E75" s="121" t="str">
        <f>IFERROR(INDEX(MASTER!I:I,MATCH(D75,MASTER!G:G,0)),"")</f>
        <v/>
      </c>
      <c r="F75" s="121">
        <f t="shared" si="1"/>
        <v>0</v>
      </c>
    </row>
    <row r="76" spans="1:6" ht="24.95" customHeight="1" x14ac:dyDescent="0.25">
      <c r="A76" s="112">
        <v>75</v>
      </c>
      <c r="B76" s="115"/>
      <c r="C76" s="118"/>
      <c r="D76" s="115" t="str">
        <f>IFERROR(INDEX(MASTER!G:G,MATCH(B76,MASTER!F:F,0)),"")</f>
        <v/>
      </c>
      <c r="E76" s="121" t="str">
        <f>IFERROR(INDEX(MASTER!I:I,MATCH(D76,MASTER!G:G,0)),"")</f>
        <v/>
      </c>
      <c r="F76" s="121">
        <f t="shared" si="1"/>
        <v>0</v>
      </c>
    </row>
    <row r="77" spans="1:6" ht="24.95" customHeight="1" x14ac:dyDescent="0.25">
      <c r="A77" s="113">
        <v>76</v>
      </c>
      <c r="B77" s="115"/>
      <c r="C77" s="118"/>
      <c r="D77" s="115" t="str">
        <f>IFERROR(INDEX(MASTER!G:G,MATCH(B77,MASTER!F:F,0)),"")</f>
        <v/>
      </c>
      <c r="E77" s="121" t="str">
        <f>IFERROR(INDEX(MASTER!I:I,MATCH(D77,MASTER!G:G,0)),"")</f>
        <v/>
      </c>
      <c r="F77" s="121">
        <f t="shared" si="1"/>
        <v>0</v>
      </c>
    </row>
    <row r="78" spans="1:6" ht="24.95" customHeight="1" x14ac:dyDescent="0.25">
      <c r="A78" s="112">
        <v>77</v>
      </c>
      <c r="B78" s="115"/>
      <c r="C78" s="118"/>
      <c r="D78" s="115" t="str">
        <f>IFERROR(INDEX(MASTER!G:G,MATCH(B78,MASTER!F:F,0)),"")</f>
        <v/>
      </c>
      <c r="E78" s="121" t="str">
        <f>IFERROR(INDEX(MASTER!I:I,MATCH(D78,MASTER!G:G,0)),"")</f>
        <v/>
      </c>
      <c r="F78" s="121">
        <f t="shared" si="1"/>
        <v>0</v>
      </c>
    </row>
    <row r="79" spans="1:6" ht="24.95" customHeight="1" x14ac:dyDescent="0.25">
      <c r="A79" s="113">
        <v>78</v>
      </c>
      <c r="B79" s="115"/>
      <c r="C79" s="118"/>
      <c r="D79" s="115" t="str">
        <f>IFERROR(INDEX(MASTER!G:G,MATCH(B79,MASTER!F:F,0)),"")</f>
        <v/>
      </c>
      <c r="E79" s="121" t="str">
        <f>IFERROR(INDEX(MASTER!I:I,MATCH(D79,MASTER!G:G,0)),"")</f>
        <v/>
      </c>
      <c r="F79" s="121">
        <f t="shared" si="1"/>
        <v>0</v>
      </c>
    </row>
    <row r="80" spans="1:6" ht="24.95" customHeight="1" x14ac:dyDescent="0.25">
      <c r="A80" s="112">
        <v>79</v>
      </c>
      <c r="B80" s="115"/>
      <c r="C80" s="118"/>
      <c r="D80" s="115" t="str">
        <f>IFERROR(INDEX(MASTER!G:G,MATCH(B80,MASTER!F:F,0)),"")</f>
        <v/>
      </c>
      <c r="E80" s="121" t="str">
        <f>IFERROR(INDEX(MASTER!I:I,MATCH(D80,MASTER!G:G,0)),"")</f>
        <v/>
      </c>
      <c r="F80" s="121">
        <f t="shared" si="1"/>
        <v>0</v>
      </c>
    </row>
    <row r="81" spans="1:6" ht="24.95" customHeight="1" x14ac:dyDescent="0.25">
      <c r="A81" s="113">
        <v>80</v>
      </c>
      <c r="B81" s="115"/>
      <c r="C81" s="118"/>
      <c r="D81" s="115" t="str">
        <f>IFERROR(INDEX(MASTER!G:G,MATCH(B81,MASTER!F:F,0)),"")</f>
        <v/>
      </c>
      <c r="E81" s="121" t="str">
        <f>IFERROR(INDEX(MASTER!I:I,MATCH(D81,MASTER!G:G,0)),"")</f>
        <v/>
      </c>
      <c r="F81" s="121">
        <f t="shared" si="1"/>
        <v>0</v>
      </c>
    </row>
    <row r="82" spans="1:6" ht="24.95" customHeight="1" x14ac:dyDescent="0.25">
      <c r="A82" s="112">
        <v>81</v>
      </c>
      <c r="B82" s="115"/>
      <c r="C82" s="118"/>
      <c r="D82" s="115" t="str">
        <f>IFERROR(INDEX(MASTER!G:G,MATCH(B82,MASTER!F:F,0)),"")</f>
        <v/>
      </c>
      <c r="E82" s="121" t="str">
        <f>IFERROR(INDEX(MASTER!I:I,MATCH(D82,MASTER!G:G,0)),"")</f>
        <v/>
      </c>
      <c r="F82" s="121">
        <f t="shared" si="1"/>
        <v>0</v>
      </c>
    </row>
    <row r="83" spans="1:6" ht="24.95" customHeight="1" x14ac:dyDescent="0.25">
      <c r="A83" s="113">
        <v>82</v>
      </c>
      <c r="B83" s="115"/>
      <c r="C83" s="118"/>
      <c r="D83" s="115" t="str">
        <f>IFERROR(INDEX(MASTER!G:G,MATCH(B83,MASTER!F:F,0)),"")</f>
        <v/>
      </c>
      <c r="E83" s="121" t="str">
        <f>IFERROR(INDEX(MASTER!I:I,MATCH(D83,MASTER!G:G,0)),"")</f>
        <v/>
      </c>
      <c r="F83" s="121">
        <f t="shared" si="1"/>
        <v>0</v>
      </c>
    </row>
    <row r="84" spans="1:6" ht="24.95" customHeight="1" x14ac:dyDescent="0.25">
      <c r="A84" s="112">
        <v>83</v>
      </c>
      <c r="B84" s="115"/>
      <c r="C84" s="118"/>
      <c r="D84" s="115" t="str">
        <f>IFERROR(INDEX(MASTER!G:G,MATCH(B84,MASTER!F:F,0)),"")</f>
        <v/>
      </c>
      <c r="E84" s="121" t="str">
        <f>IFERROR(INDEX(MASTER!I:I,MATCH(D84,MASTER!G:G,0)),"")</f>
        <v/>
      </c>
      <c r="F84" s="121">
        <f t="shared" si="1"/>
        <v>0</v>
      </c>
    </row>
    <row r="85" spans="1:6" ht="24.95" customHeight="1" x14ac:dyDescent="0.25">
      <c r="A85" s="113">
        <v>84</v>
      </c>
      <c r="B85" s="115"/>
      <c r="C85" s="118"/>
      <c r="D85" s="115" t="str">
        <f>IFERROR(INDEX(MASTER!G:G,MATCH(B85,MASTER!F:F,0)),"")</f>
        <v/>
      </c>
      <c r="E85" s="121" t="str">
        <f>IFERROR(INDEX(MASTER!I:I,MATCH(D85,MASTER!G:G,0)),"")</f>
        <v/>
      </c>
      <c r="F85" s="121">
        <f t="shared" si="1"/>
        <v>0</v>
      </c>
    </row>
    <row r="86" spans="1:6" ht="24.95" customHeight="1" x14ac:dyDescent="0.25">
      <c r="A86" s="112">
        <v>85</v>
      </c>
      <c r="B86" s="115"/>
      <c r="C86" s="118"/>
      <c r="D86" s="115" t="str">
        <f>IFERROR(INDEX(MASTER!G:G,MATCH(B86,MASTER!F:F,0)),"")</f>
        <v/>
      </c>
      <c r="E86" s="121" t="str">
        <f>IFERROR(INDEX(MASTER!I:I,MATCH(D86,MASTER!G:G,0)),"")</f>
        <v/>
      </c>
      <c r="F86" s="121">
        <f t="shared" si="1"/>
        <v>0</v>
      </c>
    </row>
    <row r="87" spans="1:6" ht="24.95" customHeight="1" x14ac:dyDescent="0.25">
      <c r="A87" s="113">
        <v>86</v>
      </c>
      <c r="B87" s="115"/>
      <c r="C87" s="118"/>
      <c r="D87" s="115" t="str">
        <f>IFERROR(INDEX(MASTER!G:G,MATCH(B87,MASTER!F:F,0)),"")</f>
        <v/>
      </c>
      <c r="E87" s="121" t="str">
        <f>IFERROR(INDEX(MASTER!I:I,MATCH(D87,MASTER!G:G,0)),"")</f>
        <v/>
      </c>
      <c r="F87" s="121">
        <f t="shared" si="1"/>
        <v>0</v>
      </c>
    </row>
    <row r="88" spans="1:6" ht="24.95" customHeight="1" x14ac:dyDescent="0.25">
      <c r="A88" s="112">
        <v>87</v>
      </c>
      <c r="B88" s="115"/>
      <c r="C88" s="118"/>
      <c r="D88" s="115" t="str">
        <f>IFERROR(INDEX(MASTER!G:G,MATCH(B88,MASTER!F:F,0)),"")</f>
        <v/>
      </c>
      <c r="E88" s="121" t="str">
        <f>IFERROR(INDEX(MASTER!I:I,MATCH(D88,MASTER!G:G,0)),"")</f>
        <v/>
      </c>
      <c r="F88" s="121">
        <f t="shared" si="1"/>
        <v>0</v>
      </c>
    </row>
    <row r="89" spans="1:6" ht="24.95" customHeight="1" x14ac:dyDescent="0.25">
      <c r="A89" s="113">
        <v>88</v>
      </c>
      <c r="B89" s="115"/>
      <c r="C89" s="118"/>
      <c r="D89" s="115" t="str">
        <f>IFERROR(INDEX(MASTER!G:G,MATCH(B89,MASTER!F:F,0)),"")</f>
        <v/>
      </c>
      <c r="E89" s="121" t="str">
        <f>IFERROR(INDEX(MASTER!I:I,MATCH(D89,MASTER!G:G,0)),"")</f>
        <v/>
      </c>
      <c r="F89" s="121">
        <f t="shared" si="1"/>
        <v>0</v>
      </c>
    </row>
    <row r="90" spans="1:6" ht="24.95" customHeight="1" x14ac:dyDescent="0.25">
      <c r="A90" s="112">
        <v>89</v>
      </c>
      <c r="B90" s="115"/>
      <c r="C90" s="118"/>
      <c r="D90" s="115" t="str">
        <f>IFERROR(INDEX(MASTER!G:G,MATCH(B90,MASTER!F:F,0)),"")</f>
        <v/>
      </c>
      <c r="E90" s="121" t="str">
        <f>IFERROR(INDEX(MASTER!I:I,MATCH(D90,MASTER!G:G,0)),"")</f>
        <v/>
      </c>
      <c r="F90" s="121">
        <f t="shared" si="1"/>
        <v>0</v>
      </c>
    </row>
    <row r="91" spans="1:6" ht="24.95" customHeight="1" x14ac:dyDescent="0.25">
      <c r="A91" s="113">
        <v>90</v>
      </c>
      <c r="B91" s="115"/>
      <c r="C91" s="118"/>
      <c r="D91" s="115" t="str">
        <f>IFERROR(INDEX(MASTER!G:G,MATCH(B91,MASTER!F:F,0)),"")</f>
        <v/>
      </c>
      <c r="E91" s="121" t="str">
        <f>IFERROR(INDEX(MASTER!I:I,MATCH(D91,MASTER!G:G,0)),"")</f>
        <v/>
      </c>
      <c r="F91" s="121">
        <f t="shared" si="1"/>
        <v>0</v>
      </c>
    </row>
    <row r="92" spans="1:6" ht="24.95" customHeight="1" x14ac:dyDescent="0.25">
      <c r="A92" s="112">
        <v>91</v>
      </c>
      <c r="B92" s="115"/>
      <c r="C92" s="118"/>
      <c r="D92" s="115" t="str">
        <f>IFERROR(INDEX(MASTER!G:G,MATCH(B92,MASTER!F:F,0)),"")</f>
        <v/>
      </c>
      <c r="E92" s="121" t="str">
        <f>IFERROR(INDEX(MASTER!I:I,MATCH(D92,MASTER!G:G,0)),"")</f>
        <v/>
      </c>
      <c r="F92" s="121">
        <f t="shared" si="1"/>
        <v>0</v>
      </c>
    </row>
    <row r="93" spans="1:6" ht="24.95" customHeight="1" x14ac:dyDescent="0.25">
      <c r="A93" s="113">
        <v>92</v>
      </c>
      <c r="B93" s="115"/>
      <c r="C93" s="118"/>
      <c r="D93" s="115" t="str">
        <f>IFERROR(INDEX(MASTER!G:G,MATCH(B93,MASTER!F:F,0)),"")</f>
        <v/>
      </c>
      <c r="E93" s="121" t="str">
        <f>IFERROR(INDEX(MASTER!I:I,MATCH(D93,MASTER!G:G,0)),"")</f>
        <v/>
      </c>
      <c r="F93" s="121">
        <f t="shared" si="1"/>
        <v>0</v>
      </c>
    </row>
    <row r="94" spans="1:6" ht="24.95" customHeight="1" x14ac:dyDescent="0.25">
      <c r="A94" s="112">
        <v>93</v>
      </c>
      <c r="B94" s="115"/>
      <c r="C94" s="118"/>
      <c r="D94" s="115" t="str">
        <f>IFERROR(INDEX(MASTER!G:G,MATCH(B94,MASTER!F:F,0)),"")</f>
        <v/>
      </c>
      <c r="E94" s="121" t="str">
        <f>IFERROR(INDEX(MASTER!I:I,MATCH(D94,MASTER!G:G,0)),"")</f>
        <v/>
      </c>
      <c r="F94" s="121">
        <f t="shared" si="1"/>
        <v>0</v>
      </c>
    </row>
    <row r="95" spans="1:6" ht="24.95" customHeight="1" x14ac:dyDescent="0.25">
      <c r="A95" s="113">
        <v>94</v>
      </c>
      <c r="B95" s="115"/>
      <c r="C95" s="118"/>
      <c r="D95" s="115" t="str">
        <f>IFERROR(INDEX(MASTER!G:G,MATCH(B95,MASTER!F:F,0)),"")</f>
        <v/>
      </c>
      <c r="E95" s="121" t="str">
        <f>IFERROR(INDEX(MASTER!I:I,MATCH(D95,MASTER!G:G,0)),"")</f>
        <v/>
      </c>
      <c r="F95" s="121">
        <f t="shared" si="1"/>
        <v>0</v>
      </c>
    </row>
    <row r="96" spans="1:6" ht="24.95" customHeight="1" x14ac:dyDescent="0.25">
      <c r="A96" s="112">
        <v>95</v>
      </c>
      <c r="B96" s="115"/>
      <c r="C96" s="118"/>
      <c r="D96" s="115" t="str">
        <f>IFERROR(INDEX(MASTER!G:G,MATCH(B96,MASTER!F:F,0)),"")</f>
        <v/>
      </c>
      <c r="E96" s="121" t="str">
        <f>IFERROR(INDEX(MASTER!I:I,MATCH(D96,MASTER!G:G,0)),"")</f>
        <v/>
      </c>
      <c r="F96" s="121">
        <f t="shared" si="1"/>
        <v>0</v>
      </c>
    </row>
    <row r="97" spans="1:6" ht="24.95" customHeight="1" x14ac:dyDescent="0.25">
      <c r="A97" s="113">
        <v>96</v>
      </c>
      <c r="B97" s="115"/>
      <c r="C97" s="118"/>
      <c r="D97" s="115" t="str">
        <f>IFERROR(INDEX(MASTER!G:G,MATCH(B97,MASTER!F:F,0)),"")</f>
        <v/>
      </c>
      <c r="E97" s="121" t="str">
        <f>IFERROR(INDEX(MASTER!I:I,MATCH(D97,MASTER!G:G,0)),"")</f>
        <v/>
      </c>
      <c r="F97" s="121">
        <f t="shared" si="1"/>
        <v>0</v>
      </c>
    </row>
    <row r="98" spans="1:6" ht="24.95" customHeight="1" x14ac:dyDescent="0.25">
      <c r="A98" s="112">
        <v>97</v>
      </c>
      <c r="B98" s="115"/>
      <c r="C98" s="118"/>
      <c r="D98" s="115" t="str">
        <f>IFERROR(INDEX(MASTER!G:G,MATCH(B98,MASTER!F:F,0)),"")</f>
        <v/>
      </c>
      <c r="E98" s="121" t="str">
        <f>IFERROR(INDEX(MASTER!I:I,MATCH(D98,MASTER!G:G,0)),"")</f>
        <v/>
      </c>
      <c r="F98" s="121">
        <f t="shared" si="1"/>
        <v>0</v>
      </c>
    </row>
    <row r="99" spans="1:6" ht="24.95" customHeight="1" x14ac:dyDescent="0.25">
      <c r="A99" s="113">
        <v>98</v>
      </c>
      <c r="B99" s="115"/>
      <c r="C99" s="118"/>
      <c r="D99" s="115" t="str">
        <f>IFERROR(INDEX(MASTER!G:G,MATCH(B99,MASTER!F:F,0)),"")</f>
        <v/>
      </c>
      <c r="E99" s="121" t="str">
        <f>IFERROR(INDEX(MASTER!I:I,MATCH(D99,MASTER!G:G,0)),"")</f>
        <v/>
      </c>
      <c r="F99" s="121">
        <f t="shared" si="1"/>
        <v>0</v>
      </c>
    </row>
    <row r="100" spans="1:6" ht="24.95" customHeight="1" x14ac:dyDescent="0.25">
      <c r="A100" s="112">
        <v>99</v>
      </c>
      <c r="B100" s="115"/>
      <c r="C100" s="118"/>
      <c r="D100" s="115" t="str">
        <f>IFERROR(INDEX(MASTER!G:G,MATCH(B100,MASTER!F:F,0)),"")</f>
        <v/>
      </c>
      <c r="E100" s="121" t="str">
        <f>IFERROR(INDEX(MASTER!I:I,MATCH(D100,MASTER!G:G,0)),"")</f>
        <v/>
      </c>
      <c r="F100" s="121">
        <f t="shared" si="1"/>
        <v>0</v>
      </c>
    </row>
    <row r="101" spans="1:6" ht="24.95" customHeight="1" x14ac:dyDescent="0.25">
      <c r="A101" s="113">
        <v>100</v>
      </c>
      <c r="B101" s="115"/>
      <c r="C101" s="118"/>
      <c r="D101" s="115" t="str">
        <f>IFERROR(INDEX(MASTER!G:G,MATCH(B101,MASTER!F:F,0)),"")</f>
        <v/>
      </c>
      <c r="E101" s="121" t="str">
        <f>IFERROR(INDEX(MASTER!I:I,MATCH(D101,MASTER!G:G,0)),"")</f>
        <v/>
      </c>
      <c r="F101" s="121">
        <f t="shared" si="1"/>
        <v>0</v>
      </c>
    </row>
    <row r="102" spans="1:6" ht="24.95" customHeight="1" x14ac:dyDescent="0.25">
      <c r="A102" s="112">
        <v>101</v>
      </c>
      <c r="B102" s="115"/>
      <c r="C102" s="118"/>
      <c r="D102" s="115" t="str">
        <f>IFERROR(INDEX(MASTER!G:G,MATCH(B102,MASTER!F:F,0)),"")</f>
        <v/>
      </c>
      <c r="E102" s="121" t="str">
        <f>IFERROR(INDEX(MASTER!I:I,MATCH(D102,MASTER!G:G,0)),"")</f>
        <v/>
      </c>
      <c r="F102" s="121">
        <f t="shared" si="1"/>
        <v>0</v>
      </c>
    </row>
    <row r="103" spans="1:6" ht="24.95" customHeight="1" x14ac:dyDescent="0.25">
      <c r="A103" s="113">
        <v>102</v>
      </c>
      <c r="B103" s="115"/>
      <c r="C103" s="118"/>
      <c r="D103" s="115" t="str">
        <f>IFERROR(INDEX(MASTER!G:G,MATCH(B103,MASTER!F:F,0)),"")</f>
        <v/>
      </c>
      <c r="E103" s="121" t="str">
        <f>IFERROR(INDEX(MASTER!I:I,MATCH(D103,MASTER!G:G,0)),"")</f>
        <v/>
      </c>
      <c r="F103" s="121">
        <f t="shared" si="1"/>
        <v>0</v>
      </c>
    </row>
    <row r="104" spans="1:6" ht="24.95" customHeight="1" x14ac:dyDescent="0.25">
      <c r="A104" s="112">
        <v>103</v>
      </c>
      <c r="B104" s="115"/>
      <c r="C104" s="118"/>
      <c r="D104" s="115" t="str">
        <f>IFERROR(INDEX(MASTER!G:G,MATCH(B104,MASTER!F:F,0)),"")</f>
        <v/>
      </c>
      <c r="E104" s="121" t="str">
        <f>IFERROR(INDEX(MASTER!I:I,MATCH(D104,MASTER!G:G,0)),"")</f>
        <v/>
      </c>
      <c r="F104" s="121">
        <f t="shared" si="1"/>
        <v>0</v>
      </c>
    </row>
    <row r="105" spans="1:6" ht="24.95" customHeight="1" x14ac:dyDescent="0.25">
      <c r="A105" s="113">
        <v>104</v>
      </c>
      <c r="B105" s="115"/>
      <c r="C105" s="118"/>
      <c r="D105" s="115" t="str">
        <f>IFERROR(INDEX(MASTER!G:G,MATCH(B105,MASTER!F:F,0)),"")</f>
        <v/>
      </c>
      <c r="E105" s="121" t="str">
        <f>IFERROR(INDEX(MASTER!I:I,MATCH(D105,MASTER!G:G,0)),"")</f>
        <v/>
      </c>
      <c r="F105" s="121">
        <f t="shared" si="1"/>
        <v>0</v>
      </c>
    </row>
    <row r="106" spans="1:6" ht="24.95" customHeight="1" x14ac:dyDescent="0.25">
      <c r="A106" s="112">
        <v>105</v>
      </c>
      <c r="B106" s="115"/>
      <c r="C106" s="118"/>
      <c r="D106" s="115" t="str">
        <f>IFERROR(INDEX(MASTER!G:G,MATCH(B106,MASTER!F:F,0)),"")</f>
        <v/>
      </c>
      <c r="E106" s="121" t="str">
        <f>IFERROR(INDEX(MASTER!I:I,MATCH(D106,MASTER!G:G,0)),"")</f>
        <v/>
      </c>
      <c r="F106" s="121">
        <f t="shared" si="1"/>
        <v>0</v>
      </c>
    </row>
    <row r="107" spans="1:6" ht="24.95" customHeight="1" x14ac:dyDescent="0.25">
      <c r="A107" s="113">
        <v>106</v>
      </c>
      <c r="B107" s="115"/>
      <c r="C107" s="118"/>
      <c r="D107" s="115" t="str">
        <f>IFERROR(INDEX(MASTER!G:G,MATCH(B107,MASTER!F:F,0)),"")</f>
        <v/>
      </c>
      <c r="E107" s="121" t="str">
        <f>IFERROR(INDEX(MASTER!I:I,MATCH(D107,MASTER!G:G,0)),"")</f>
        <v/>
      </c>
      <c r="F107" s="121">
        <f t="shared" si="1"/>
        <v>0</v>
      </c>
    </row>
    <row r="108" spans="1:6" ht="24.95" customHeight="1" x14ac:dyDescent="0.25">
      <c r="A108" s="112">
        <v>107</v>
      </c>
      <c r="B108" s="115"/>
      <c r="C108" s="118"/>
      <c r="D108" s="115" t="str">
        <f>IFERROR(INDEX(MASTER!G:G,MATCH(B108,MASTER!F:F,0)),"")</f>
        <v/>
      </c>
      <c r="E108" s="121" t="str">
        <f>IFERROR(INDEX(MASTER!I:I,MATCH(D108,MASTER!G:G,0)),"")</f>
        <v/>
      </c>
      <c r="F108" s="121">
        <f t="shared" si="1"/>
        <v>0</v>
      </c>
    </row>
    <row r="109" spans="1:6" ht="24.95" customHeight="1" x14ac:dyDescent="0.25">
      <c r="A109" s="113">
        <v>108</v>
      </c>
      <c r="B109" s="115"/>
      <c r="C109" s="118"/>
      <c r="D109" s="115" t="str">
        <f>IFERROR(INDEX(MASTER!G:G,MATCH(B109,MASTER!F:F,0)),"")</f>
        <v/>
      </c>
      <c r="E109" s="121" t="str">
        <f>IFERROR(INDEX(MASTER!I:I,MATCH(D109,MASTER!G:G,0)),"")</f>
        <v/>
      </c>
      <c r="F109" s="121">
        <f t="shared" si="1"/>
        <v>0</v>
      </c>
    </row>
    <row r="110" spans="1:6" ht="24.95" customHeight="1" x14ac:dyDescent="0.25">
      <c r="A110" s="112">
        <v>109</v>
      </c>
      <c r="B110" s="115"/>
      <c r="C110" s="118"/>
      <c r="D110" s="115" t="str">
        <f>IFERROR(INDEX(MASTER!G:G,MATCH(B110,MASTER!F:F,0)),"")</f>
        <v/>
      </c>
      <c r="E110" s="121" t="str">
        <f>IFERROR(INDEX(MASTER!I:I,MATCH(D110,MASTER!G:G,0)),"")</f>
        <v/>
      </c>
      <c r="F110" s="121">
        <f t="shared" si="1"/>
        <v>0</v>
      </c>
    </row>
    <row r="111" spans="1:6" ht="24.95" customHeight="1" x14ac:dyDescent="0.25">
      <c r="A111" s="113">
        <v>110</v>
      </c>
      <c r="B111" s="115"/>
      <c r="C111" s="118"/>
      <c r="D111" s="115" t="str">
        <f>IFERROR(INDEX(MASTER!G:G,MATCH(B111,MASTER!F:F,0)),"")</f>
        <v/>
      </c>
      <c r="E111" s="121" t="str">
        <f>IFERROR(INDEX(MASTER!I:I,MATCH(D111,MASTER!G:G,0)),"")</f>
        <v/>
      </c>
      <c r="F111" s="121">
        <f t="shared" si="1"/>
        <v>0</v>
      </c>
    </row>
    <row r="112" spans="1:6" ht="24.95" customHeight="1" x14ac:dyDescent="0.25">
      <c r="A112" s="112">
        <v>111</v>
      </c>
      <c r="B112" s="115"/>
      <c r="C112" s="118"/>
      <c r="D112" s="115" t="str">
        <f>IFERROR(INDEX(MASTER!G:G,MATCH(B112,MASTER!F:F,0)),"")</f>
        <v/>
      </c>
      <c r="E112" s="121" t="str">
        <f>IFERROR(INDEX(MASTER!I:I,MATCH(D112,MASTER!G:G,0)),"")</f>
        <v/>
      </c>
      <c r="F112" s="121">
        <f t="shared" si="1"/>
        <v>0</v>
      </c>
    </row>
    <row r="113" spans="1:6" ht="24.95" customHeight="1" x14ac:dyDescent="0.25">
      <c r="A113" s="113">
        <v>112</v>
      </c>
      <c r="B113" s="115"/>
      <c r="C113" s="118"/>
      <c r="D113" s="115" t="str">
        <f>IFERROR(INDEX(MASTER!G:G,MATCH(B113,MASTER!F:F,0)),"")</f>
        <v/>
      </c>
      <c r="E113" s="121" t="str">
        <f>IFERROR(INDEX(MASTER!I:I,MATCH(D113,MASTER!G:G,0)),"")</f>
        <v/>
      </c>
      <c r="F113" s="121">
        <f t="shared" si="1"/>
        <v>0</v>
      </c>
    </row>
    <row r="114" spans="1:6" ht="24.95" customHeight="1" x14ac:dyDescent="0.25">
      <c r="A114" s="112">
        <v>113</v>
      </c>
      <c r="B114" s="115"/>
      <c r="C114" s="118"/>
      <c r="D114" s="115" t="str">
        <f>IFERROR(INDEX(MASTER!G:G,MATCH(B114,MASTER!F:F,0)),"")</f>
        <v/>
      </c>
      <c r="E114" s="121" t="str">
        <f>IFERROR(INDEX(MASTER!I:I,MATCH(D114,MASTER!G:G,0)),"")</f>
        <v/>
      </c>
      <c r="F114" s="121">
        <f t="shared" si="1"/>
        <v>0</v>
      </c>
    </row>
    <row r="115" spans="1:6" ht="24.95" customHeight="1" x14ac:dyDescent="0.25">
      <c r="A115" s="113">
        <v>114</v>
      </c>
      <c r="B115" s="115"/>
      <c r="C115" s="118"/>
      <c r="D115" s="115" t="str">
        <f>IFERROR(INDEX(MASTER!G:G,MATCH(B115,MASTER!F:F,0)),"")</f>
        <v/>
      </c>
      <c r="E115" s="121" t="str">
        <f>IFERROR(INDEX(MASTER!I:I,MATCH(D115,MASTER!G:G,0)),"")</f>
        <v/>
      </c>
      <c r="F115" s="121">
        <f t="shared" si="1"/>
        <v>0</v>
      </c>
    </row>
    <row r="116" spans="1:6" ht="24.95" customHeight="1" x14ac:dyDescent="0.25">
      <c r="A116" s="112">
        <v>115</v>
      </c>
      <c r="B116" s="115"/>
      <c r="C116" s="118"/>
      <c r="D116" s="115" t="str">
        <f>IFERROR(INDEX(MASTER!G:G,MATCH(B116,MASTER!F:F,0)),"")</f>
        <v/>
      </c>
      <c r="E116" s="121" t="str">
        <f>IFERROR(INDEX(MASTER!I:I,MATCH(D116,MASTER!G:G,0)),"")</f>
        <v/>
      </c>
      <c r="F116" s="121">
        <f t="shared" si="1"/>
        <v>0</v>
      </c>
    </row>
    <row r="117" spans="1:6" ht="24.95" customHeight="1" x14ac:dyDescent="0.25">
      <c r="A117" s="113">
        <v>116</v>
      </c>
      <c r="B117" s="115"/>
      <c r="C117" s="118"/>
      <c r="D117" s="115" t="str">
        <f>IFERROR(INDEX(MASTER!G:G,MATCH(B117,MASTER!F:F,0)),"")</f>
        <v/>
      </c>
      <c r="E117" s="121" t="str">
        <f>IFERROR(INDEX(MASTER!I:I,MATCH(D117,MASTER!G:G,0)),"")</f>
        <v/>
      </c>
      <c r="F117" s="121">
        <f t="shared" si="1"/>
        <v>0</v>
      </c>
    </row>
    <row r="118" spans="1:6" ht="24.95" customHeight="1" x14ac:dyDescent="0.25">
      <c r="A118" s="112">
        <v>117</v>
      </c>
      <c r="B118" s="115"/>
      <c r="C118" s="118"/>
      <c r="D118" s="115" t="str">
        <f>IFERROR(INDEX(MASTER!G:G,MATCH(B118,MASTER!F:F,0)),"")</f>
        <v/>
      </c>
      <c r="E118" s="121" t="str">
        <f>IFERROR(INDEX(MASTER!I:I,MATCH(D118,MASTER!G:G,0)),"")</f>
        <v/>
      </c>
      <c r="F118" s="121">
        <f t="shared" si="1"/>
        <v>0</v>
      </c>
    </row>
    <row r="119" spans="1:6" ht="24.95" customHeight="1" x14ac:dyDescent="0.25">
      <c r="A119" s="113">
        <v>118</v>
      </c>
      <c r="B119" s="115"/>
      <c r="C119" s="118"/>
      <c r="D119" s="115" t="str">
        <f>IFERROR(INDEX(MASTER!G:G,MATCH(B119,MASTER!F:F,0)),"")</f>
        <v/>
      </c>
      <c r="E119" s="121" t="str">
        <f>IFERROR(INDEX(MASTER!I:I,MATCH(D119,MASTER!G:G,0)),"")</f>
        <v/>
      </c>
      <c r="F119" s="121">
        <f t="shared" si="1"/>
        <v>0</v>
      </c>
    </row>
    <row r="120" spans="1:6" ht="24.95" customHeight="1" x14ac:dyDescent="0.25">
      <c r="A120" s="112">
        <v>119</v>
      </c>
      <c r="B120" s="115"/>
      <c r="C120" s="118"/>
      <c r="D120" s="115" t="str">
        <f>IFERROR(INDEX(MASTER!G:G,MATCH(B120,MASTER!F:F,0)),"")</f>
        <v/>
      </c>
      <c r="E120" s="121" t="str">
        <f>IFERROR(INDEX(MASTER!I:I,MATCH(D120,MASTER!G:G,0)),"")</f>
        <v/>
      </c>
      <c r="F120" s="121">
        <f t="shared" si="1"/>
        <v>0</v>
      </c>
    </row>
    <row r="121" spans="1:6" ht="24.95" customHeight="1" x14ac:dyDescent="0.25">
      <c r="A121" s="113">
        <v>120</v>
      </c>
      <c r="B121" s="115"/>
      <c r="C121" s="118"/>
      <c r="D121" s="115" t="str">
        <f>IFERROR(INDEX(MASTER!G:G,MATCH(B121,MASTER!F:F,0)),"")</f>
        <v/>
      </c>
      <c r="E121" s="121" t="str">
        <f>IFERROR(INDEX(MASTER!I:I,MATCH(D121,MASTER!G:G,0)),"")</f>
        <v/>
      </c>
      <c r="F121" s="121">
        <f t="shared" si="1"/>
        <v>0</v>
      </c>
    </row>
    <row r="122" spans="1:6" ht="24.95" customHeight="1" x14ac:dyDescent="0.25">
      <c r="A122" s="112">
        <v>121</v>
      </c>
      <c r="B122" s="115"/>
      <c r="C122" s="118"/>
      <c r="D122" s="115" t="str">
        <f>IFERROR(INDEX(MASTER!G:G,MATCH(B122,MASTER!F:F,0)),"")</f>
        <v/>
      </c>
      <c r="E122" s="121" t="str">
        <f>IFERROR(INDEX(MASTER!I:I,MATCH(D122,MASTER!G:G,0)),"")</f>
        <v/>
      </c>
      <c r="F122" s="121">
        <f t="shared" si="1"/>
        <v>0</v>
      </c>
    </row>
    <row r="123" spans="1:6" ht="24.95" customHeight="1" x14ac:dyDescent="0.25">
      <c r="A123" s="113">
        <v>122</v>
      </c>
      <c r="B123" s="115"/>
      <c r="C123" s="118"/>
      <c r="D123" s="115" t="str">
        <f>IFERROR(INDEX(MASTER!G:G,MATCH(B123,MASTER!F:F,0)),"")</f>
        <v/>
      </c>
      <c r="E123" s="121" t="str">
        <f>IFERROR(INDEX(MASTER!I:I,MATCH(D123,MASTER!G:G,0)),"")</f>
        <v/>
      </c>
      <c r="F123" s="121">
        <f t="shared" si="1"/>
        <v>0</v>
      </c>
    </row>
    <row r="124" spans="1:6" ht="24.95" customHeight="1" x14ac:dyDescent="0.25">
      <c r="A124" s="112">
        <v>123</v>
      </c>
      <c r="B124" s="115"/>
      <c r="C124" s="118"/>
      <c r="D124" s="115" t="str">
        <f>IFERROR(INDEX(MASTER!G:G,MATCH(B124,MASTER!F:F,0)),"")</f>
        <v/>
      </c>
      <c r="E124" s="121" t="str">
        <f>IFERROR(INDEX(MASTER!I:I,MATCH(D124,MASTER!G:G,0)),"")</f>
        <v/>
      </c>
      <c r="F124" s="121">
        <f t="shared" si="1"/>
        <v>0</v>
      </c>
    </row>
    <row r="125" spans="1:6" ht="24.95" customHeight="1" x14ac:dyDescent="0.25">
      <c r="A125" s="113">
        <v>124</v>
      </c>
      <c r="B125" s="115"/>
      <c r="C125" s="118"/>
      <c r="D125" s="115" t="str">
        <f>IFERROR(INDEX(MASTER!G:G,MATCH(B125,MASTER!F:F,0)),"")</f>
        <v/>
      </c>
      <c r="E125" s="121" t="str">
        <f>IFERROR(INDEX(MASTER!I:I,MATCH(D125,MASTER!G:G,0)),"")</f>
        <v/>
      </c>
      <c r="F125" s="121">
        <f t="shared" si="1"/>
        <v>0</v>
      </c>
    </row>
    <row r="126" spans="1:6" ht="24.95" customHeight="1" x14ac:dyDescent="0.25">
      <c r="A126" s="112">
        <v>125</v>
      </c>
      <c r="B126" s="115"/>
      <c r="C126" s="118"/>
      <c r="D126" s="115" t="str">
        <f>IFERROR(INDEX(MASTER!G:G,MATCH(B126,MASTER!F:F,0)),"")</f>
        <v/>
      </c>
      <c r="E126" s="121" t="str">
        <f>IFERROR(INDEX(MASTER!I:I,MATCH(D126,MASTER!G:G,0)),"")</f>
        <v/>
      </c>
      <c r="F126" s="121">
        <f t="shared" si="1"/>
        <v>0</v>
      </c>
    </row>
    <row r="127" spans="1:6" ht="24.95" customHeight="1" x14ac:dyDescent="0.25">
      <c r="A127" s="113">
        <v>126</v>
      </c>
      <c r="B127" s="115"/>
      <c r="C127" s="118"/>
      <c r="D127" s="115" t="str">
        <f>IFERROR(INDEX(MASTER!G:G,MATCH(B127,MASTER!F:F,0)),"")</f>
        <v/>
      </c>
      <c r="E127" s="121" t="str">
        <f>IFERROR(INDEX(MASTER!I:I,MATCH(D127,MASTER!G:G,0)),"")</f>
        <v/>
      </c>
      <c r="F127" s="121">
        <f t="shared" si="1"/>
        <v>0</v>
      </c>
    </row>
    <row r="128" spans="1:6" ht="24.95" customHeight="1" x14ac:dyDescent="0.25">
      <c r="A128" s="112">
        <v>127</v>
      </c>
      <c r="B128" s="115"/>
      <c r="C128" s="118"/>
      <c r="D128" s="115" t="str">
        <f>IFERROR(INDEX(MASTER!G:G,MATCH(B128,MASTER!F:F,0)),"")</f>
        <v/>
      </c>
      <c r="E128" s="121" t="str">
        <f>IFERROR(INDEX(MASTER!I:I,MATCH(D128,MASTER!G:G,0)),"")</f>
        <v/>
      </c>
      <c r="F128" s="121">
        <f t="shared" si="1"/>
        <v>0</v>
      </c>
    </row>
    <row r="129" spans="1:6" ht="24.95" customHeight="1" x14ac:dyDescent="0.25">
      <c r="A129" s="113">
        <v>128</v>
      </c>
      <c r="B129" s="115"/>
      <c r="C129" s="118"/>
      <c r="D129" s="115" t="str">
        <f>IFERROR(INDEX(MASTER!G:G,MATCH(B129,MASTER!F:F,0)),"")</f>
        <v/>
      </c>
      <c r="E129" s="121" t="str">
        <f>IFERROR(INDEX(MASTER!I:I,MATCH(D129,MASTER!G:G,0)),"")</f>
        <v/>
      </c>
      <c r="F129" s="121">
        <f t="shared" si="1"/>
        <v>0</v>
      </c>
    </row>
    <row r="130" spans="1:6" ht="24.95" customHeight="1" x14ac:dyDescent="0.25">
      <c r="A130" s="112">
        <v>129</v>
      </c>
      <c r="B130" s="115"/>
      <c r="C130" s="118"/>
      <c r="D130" s="115" t="str">
        <f>IFERROR(INDEX(MASTER!G:G,MATCH(B130,MASTER!F:F,0)),"")</f>
        <v/>
      </c>
      <c r="E130" s="121" t="str">
        <f>IFERROR(INDEX(MASTER!I:I,MATCH(D130,MASTER!G:G,0)),"")</f>
        <v/>
      </c>
      <c r="F130" s="121">
        <f t="shared" si="1"/>
        <v>0</v>
      </c>
    </row>
    <row r="131" spans="1:6" ht="24.95" customHeight="1" x14ac:dyDescent="0.25">
      <c r="A131" s="113">
        <v>130</v>
      </c>
      <c r="B131" s="115"/>
      <c r="C131" s="118"/>
      <c r="D131" s="115" t="str">
        <f>IFERROR(INDEX(MASTER!G:G,MATCH(B131,MASTER!F:F,0)),"")</f>
        <v/>
      </c>
      <c r="E131" s="121" t="str">
        <f>IFERROR(INDEX(MASTER!I:I,MATCH(D131,MASTER!G:G,0)),"")</f>
        <v/>
      </c>
      <c r="F131" s="121">
        <f t="shared" ref="F131:F194" si="2">+C131</f>
        <v>0</v>
      </c>
    </row>
    <row r="132" spans="1:6" ht="24.95" customHeight="1" x14ac:dyDescent="0.25">
      <c r="A132" s="112">
        <v>131</v>
      </c>
      <c r="B132" s="115"/>
      <c r="C132" s="118"/>
      <c r="D132" s="115" t="str">
        <f>IFERROR(INDEX(MASTER!G:G,MATCH(B132,MASTER!F:F,0)),"")</f>
        <v/>
      </c>
      <c r="E132" s="121" t="str">
        <f>IFERROR(INDEX(MASTER!I:I,MATCH(D132,MASTER!G:G,0)),"")</f>
        <v/>
      </c>
      <c r="F132" s="121">
        <f t="shared" si="2"/>
        <v>0</v>
      </c>
    </row>
    <row r="133" spans="1:6" ht="24.95" customHeight="1" x14ac:dyDescent="0.25">
      <c r="A133" s="113">
        <v>132</v>
      </c>
      <c r="B133" s="115"/>
      <c r="C133" s="118"/>
      <c r="D133" s="115" t="str">
        <f>IFERROR(INDEX(MASTER!G:G,MATCH(B133,MASTER!F:F,0)),"")</f>
        <v/>
      </c>
      <c r="E133" s="121" t="str">
        <f>IFERROR(INDEX(MASTER!I:I,MATCH(D133,MASTER!G:G,0)),"")</f>
        <v/>
      </c>
      <c r="F133" s="121">
        <f t="shared" si="2"/>
        <v>0</v>
      </c>
    </row>
    <row r="134" spans="1:6" ht="24.95" customHeight="1" x14ac:dyDescent="0.25">
      <c r="A134" s="112">
        <v>133</v>
      </c>
      <c r="B134" s="115"/>
      <c r="C134" s="118"/>
      <c r="D134" s="115" t="str">
        <f>IFERROR(INDEX(MASTER!G:G,MATCH(B134,MASTER!F:F,0)),"")</f>
        <v/>
      </c>
      <c r="E134" s="121" t="str">
        <f>IFERROR(INDEX(MASTER!I:I,MATCH(D134,MASTER!G:G,0)),"")</f>
        <v/>
      </c>
      <c r="F134" s="121">
        <f t="shared" si="2"/>
        <v>0</v>
      </c>
    </row>
    <row r="135" spans="1:6" ht="24.95" customHeight="1" x14ac:dyDescent="0.25">
      <c r="A135" s="113">
        <v>134</v>
      </c>
      <c r="B135" s="115"/>
      <c r="C135" s="118"/>
      <c r="D135" s="115" t="str">
        <f>IFERROR(INDEX(MASTER!G:G,MATCH(B135,MASTER!F:F,0)),"")</f>
        <v/>
      </c>
      <c r="E135" s="121" t="str">
        <f>IFERROR(INDEX(MASTER!I:I,MATCH(D135,MASTER!G:G,0)),"")</f>
        <v/>
      </c>
      <c r="F135" s="121">
        <f t="shared" si="2"/>
        <v>0</v>
      </c>
    </row>
    <row r="136" spans="1:6" ht="24.95" customHeight="1" x14ac:dyDescent="0.25">
      <c r="A136" s="112">
        <v>135</v>
      </c>
      <c r="B136" s="115"/>
      <c r="C136" s="118"/>
      <c r="D136" s="115" t="str">
        <f>IFERROR(INDEX(MASTER!G:G,MATCH(B136,MASTER!F:F,0)),"")</f>
        <v/>
      </c>
      <c r="E136" s="121" t="str">
        <f>IFERROR(INDEX(MASTER!I:I,MATCH(D136,MASTER!G:G,0)),"")</f>
        <v/>
      </c>
      <c r="F136" s="121">
        <f t="shared" si="2"/>
        <v>0</v>
      </c>
    </row>
    <row r="137" spans="1:6" ht="24.95" customHeight="1" x14ac:dyDescent="0.25">
      <c r="A137" s="113">
        <v>136</v>
      </c>
      <c r="B137" s="115"/>
      <c r="C137" s="118"/>
      <c r="D137" s="115" t="str">
        <f>IFERROR(INDEX(MASTER!G:G,MATCH(B137,MASTER!F:F,0)),"")</f>
        <v/>
      </c>
      <c r="E137" s="121" t="str">
        <f>IFERROR(INDEX(MASTER!I:I,MATCH(D137,MASTER!G:G,0)),"")</f>
        <v/>
      </c>
      <c r="F137" s="121">
        <f t="shared" si="2"/>
        <v>0</v>
      </c>
    </row>
    <row r="138" spans="1:6" ht="24.95" customHeight="1" x14ac:dyDescent="0.25">
      <c r="A138" s="112">
        <v>137</v>
      </c>
      <c r="B138" s="115"/>
      <c r="C138" s="118"/>
      <c r="D138" s="115" t="str">
        <f>IFERROR(INDEX(MASTER!G:G,MATCH(B138,MASTER!F:F,0)),"")</f>
        <v/>
      </c>
      <c r="E138" s="121" t="str">
        <f>IFERROR(INDEX(MASTER!I:I,MATCH(D138,MASTER!G:G,0)),"")</f>
        <v/>
      </c>
      <c r="F138" s="121">
        <f t="shared" si="2"/>
        <v>0</v>
      </c>
    </row>
    <row r="139" spans="1:6" ht="24.95" customHeight="1" x14ac:dyDescent="0.25">
      <c r="A139" s="113">
        <v>138</v>
      </c>
      <c r="B139" s="115"/>
      <c r="C139" s="118"/>
      <c r="D139" s="115" t="str">
        <f>IFERROR(INDEX(MASTER!G:G,MATCH(B139,MASTER!F:F,0)),"")</f>
        <v/>
      </c>
      <c r="E139" s="121" t="str">
        <f>IFERROR(INDEX(MASTER!I:I,MATCH(D139,MASTER!G:G,0)),"")</f>
        <v/>
      </c>
      <c r="F139" s="121">
        <f t="shared" si="2"/>
        <v>0</v>
      </c>
    </row>
    <row r="140" spans="1:6" ht="24.95" customHeight="1" x14ac:dyDescent="0.25">
      <c r="A140" s="112">
        <v>139</v>
      </c>
      <c r="B140" s="115"/>
      <c r="C140" s="118"/>
      <c r="D140" s="115" t="str">
        <f>IFERROR(INDEX(MASTER!G:G,MATCH(B140,MASTER!F:F,0)),"")</f>
        <v/>
      </c>
      <c r="E140" s="121" t="str">
        <f>IFERROR(INDEX(MASTER!I:I,MATCH(D140,MASTER!G:G,0)),"")</f>
        <v/>
      </c>
      <c r="F140" s="121">
        <f t="shared" si="2"/>
        <v>0</v>
      </c>
    </row>
    <row r="141" spans="1:6" ht="24.95" customHeight="1" x14ac:dyDescent="0.25">
      <c r="A141" s="113">
        <v>140</v>
      </c>
      <c r="B141" s="115"/>
      <c r="C141" s="118"/>
      <c r="D141" s="115" t="str">
        <f>IFERROR(INDEX(MASTER!G:G,MATCH(B141,MASTER!F:F,0)),"")</f>
        <v/>
      </c>
      <c r="E141" s="121" t="str">
        <f>IFERROR(INDEX(MASTER!I:I,MATCH(D141,MASTER!G:G,0)),"")</f>
        <v/>
      </c>
      <c r="F141" s="121">
        <f t="shared" si="2"/>
        <v>0</v>
      </c>
    </row>
    <row r="142" spans="1:6" ht="24.95" customHeight="1" x14ac:dyDescent="0.25">
      <c r="A142" s="112">
        <v>141</v>
      </c>
      <c r="B142" s="115"/>
      <c r="C142" s="118"/>
      <c r="D142" s="115" t="str">
        <f>IFERROR(INDEX(MASTER!G:G,MATCH(B142,MASTER!F:F,0)),"")</f>
        <v/>
      </c>
      <c r="E142" s="121" t="str">
        <f>IFERROR(INDEX(MASTER!I:I,MATCH(D142,MASTER!G:G,0)),"")</f>
        <v/>
      </c>
      <c r="F142" s="121">
        <f t="shared" si="2"/>
        <v>0</v>
      </c>
    </row>
    <row r="143" spans="1:6" ht="24.95" customHeight="1" x14ac:dyDescent="0.25">
      <c r="A143" s="113">
        <v>142</v>
      </c>
      <c r="B143" s="115"/>
      <c r="C143" s="118"/>
      <c r="D143" s="115" t="str">
        <f>IFERROR(INDEX(MASTER!G:G,MATCH(B143,MASTER!F:F,0)),"")</f>
        <v/>
      </c>
      <c r="E143" s="121" t="str">
        <f>IFERROR(INDEX(MASTER!I:I,MATCH(D143,MASTER!G:G,0)),"")</f>
        <v/>
      </c>
      <c r="F143" s="121">
        <f t="shared" si="2"/>
        <v>0</v>
      </c>
    </row>
    <row r="144" spans="1:6" ht="24.95" customHeight="1" x14ac:dyDescent="0.25">
      <c r="A144" s="112">
        <v>143</v>
      </c>
      <c r="B144" s="115"/>
      <c r="C144" s="118"/>
      <c r="D144" s="115" t="str">
        <f>IFERROR(INDEX(MASTER!G:G,MATCH(B144,MASTER!F:F,0)),"")</f>
        <v/>
      </c>
      <c r="E144" s="121" t="str">
        <f>IFERROR(INDEX(MASTER!I:I,MATCH(D144,MASTER!G:G,0)),"")</f>
        <v/>
      </c>
      <c r="F144" s="121">
        <f t="shared" si="2"/>
        <v>0</v>
      </c>
    </row>
    <row r="145" spans="1:6" ht="24.95" customHeight="1" x14ac:dyDescent="0.25">
      <c r="A145" s="113">
        <v>144</v>
      </c>
      <c r="B145" s="115"/>
      <c r="C145" s="118"/>
      <c r="D145" s="115" t="str">
        <f>IFERROR(INDEX(MASTER!G:G,MATCH(B145,MASTER!F:F,0)),"")</f>
        <v/>
      </c>
      <c r="E145" s="121" t="str">
        <f>IFERROR(INDEX(MASTER!I:I,MATCH(D145,MASTER!G:G,0)),"")</f>
        <v/>
      </c>
      <c r="F145" s="121">
        <f t="shared" si="2"/>
        <v>0</v>
      </c>
    </row>
    <row r="146" spans="1:6" ht="24.95" customHeight="1" x14ac:dyDescent="0.25">
      <c r="A146" s="112">
        <v>145</v>
      </c>
      <c r="B146" s="115"/>
      <c r="C146" s="118"/>
      <c r="D146" s="115" t="str">
        <f>IFERROR(INDEX(MASTER!G:G,MATCH(B146,MASTER!F:F,0)),"")</f>
        <v/>
      </c>
      <c r="E146" s="121" t="str">
        <f>IFERROR(INDEX(MASTER!I:I,MATCH(D146,MASTER!G:G,0)),"")</f>
        <v/>
      </c>
      <c r="F146" s="121">
        <f t="shared" si="2"/>
        <v>0</v>
      </c>
    </row>
    <row r="147" spans="1:6" ht="24.95" customHeight="1" x14ac:dyDescent="0.25">
      <c r="A147" s="113">
        <v>146</v>
      </c>
      <c r="B147" s="115"/>
      <c r="C147" s="118"/>
      <c r="D147" s="115" t="str">
        <f>IFERROR(INDEX(MASTER!G:G,MATCH(B147,MASTER!F:F,0)),"")</f>
        <v/>
      </c>
      <c r="E147" s="121" t="str">
        <f>IFERROR(INDEX(MASTER!I:I,MATCH(D147,MASTER!G:G,0)),"")</f>
        <v/>
      </c>
      <c r="F147" s="121">
        <f t="shared" si="2"/>
        <v>0</v>
      </c>
    </row>
    <row r="148" spans="1:6" ht="24.95" customHeight="1" x14ac:dyDescent="0.25">
      <c r="A148" s="112">
        <v>147</v>
      </c>
      <c r="B148" s="115"/>
      <c r="C148" s="118"/>
      <c r="D148" s="115" t="str">
        <f>IFERROR(INDEX(MASTER!G:G,MATCH(B148,MASTER!F:F,0)),"")</f>
        <v/>
      </c>
      <c r="E148" s="121" t="str">
        <f>IFERROR(INDEX(MASTER!I:I,MATCH(D148,MASTER!G:G,0)),"")</f>
        <v/>
      </c>
      <c r="F148" s="121">
        <f t="shared" si="2"/>
        <v>0</v>
      </c>
    </row>
    <row r="149" spans="1:6" ht="24.95" customHeight="1" x14ac:dyDescent="0.25">
      <c r="A149" s="113">
        <v>148</v>
      </c>
      <c r="B149" s="115"/>
      <c r="C149" s="118"/>
      <c r="D149" s="115" t="str">
        <f>IFERROR(INDEX(MASTER!G:G,MATCH(B149,MASTER!F:F,0)),"")</f>
        <v/>
      </c>
      <c r="E149" s="121" t="str">
        <f>IFERROR(INDEX(MASTER!I:I,MATCH(D149,MASTER!G:G,0)),"")</f>
        <v/>
      </c>
      <c r="F149" s="121">
        <f t="shared" si="2"/>
        <v>0</v>
      </c>
    </row>
    <row r="150" spans="1:6" ht="24.95" customHeight="1" x14ac:dyDescent="0.25">
      <c r="A150" s="112">
        <v>149</v>
      </c>
      <c r="B150" s="115"/>
      <c r="C150" s="118"/>
      <c r="D150" s="115" t="str">
        <f>IFERROR(INDEX(MASTER!G:G,MATCH(B150,MASTER!F:F,0)),"")</f>
        <v/>
      </c>
      <c r="E150" s="121" t="str">
        <f>IFERROR(INDEX(MASTER!I:I,MATCH(D150,MASTER!G:G,0)),"")</f>
        <v/>
      </c>
      <c r="F150" s="121">
        <f t="shared" si="2"/>
        <v>0</v>
      </c>
    </row>
    <row r="151" spans="1:6" ht="24.95" customHeight="1" x14ac:dyDescent="0.25">
      <c r="A151" s="113">
        <v>150</v>
      </c>
      <c r="B151" s="115"/>
      <c r="C151" s="118"/>
      <c r="D151" s="115" t="str">
        <f>IFERROR(INDEX(MASTER!G:G,MATCH(B151,MASTER!F:F,0)),"")</f>
        <v/>
      </c>
      <c r="E151" s="121" t="str">
        <f>IFERROR(INDEX(MASTER!I:I,MATCH(D151,MASTER!G:G,0)),"")</f>
        <v/>
      </c>
      <c r="F151" s="121">
        <f t="shared" si="2"/>
        <v>0</v>
      </c>
    </row>
    <row r="152" spans="1:6" ht="24.95" customHeight="1" x14ac:dyDescent="0.25">
      <c r="A152" s="112">
        <v>151</v>
      </c>
      <c r="B152" s="115"/>
      <c r="C152" s="118"/>
      <c r="D152" s="115" t="str">
        <f>IFERROR(INDEX(MASTER!G:G,MATCH(B152,MASTER!F:F,0)),"")</f>
        <v/>
      </c>
      <c r="E152" s="121" t="str">
        <f>IFERROR(INDEX(MASTER!I:I,MATCH(D152,MASTER!G:G,0)),"")</f>
        <v/>
      </c>
      <c r="F152" s="121">
        <f t="shared" si="2"/>
        <v>0</v>
      </c>
    </row>
    <row r="153" spans="1:6" ht="24.95" customHeight="1" x14ac:dyDescent="0.25">
      <c r="A153" s="113">
        <v>152</v>
      </c>
      <c r="B153" s="115"/>
      <c r="C153" s="118"/>
      <c r="D153" s="115" t="str">
        <f>IFERROR(INDEX(MASTER!G:G,MATCH(B153,MASTER!F:F,0)),"")</f>
        <v/>
      </c>
      <c r="E153" s="121" t="str">
        <f>IFERROR(INDEX(MASTER!I:I,MATCH(D153,MASTER!G:G,0)),"")</f>
        <v/>
      </c>
      <c r="F153" s="121">
        <f t="shared" si="2"/>
        <v>0</v>
      </c>
    </row>
    <row r="154" spans="1:6" ht="24.95" customHeight="1" x14ac:dyDescent="0.25">
      <c r="A154" s="112">
        <v>153</v>
      </c>
      <c r="B154" s="115"/>
      <c r="C154" s="118"/>
      <c r="D154" s="115" t="str">
        <f>IFERROR(INDEX(MASTER!G:G,MATCH(B154,MASTER!F:F,0)),"")</f>
        <v/>
      </c>
      <c r="E154" s="121" t="str">
        <f>IFERROR(INDEX(MASTER!I:I,MATCH(D154,MASTER!G:G,0)),"")</f>
        <v/>
      </c>
      <c r="F154" s="121">
        <f t="shared" si="2"/>
        <v>0</v>
      </c>
    </row>
    <row r="155" spans="1:6" ht="24.95" customHeight="1" x14ac:dyDescent="0.25">
      <c r="A155" s="113">
        <v>154</v>
      </c>
      <c r="B155" s="115"/>
      <c r="C155" s="118"/>
      <c r="D155" s="115" t="str">
        <f>IFERROR(INDEX(MASTER!G:G,MATCH(B155,MASTER!F:F,0)),"")</f>
        <v/>
      </c>
      <c r="E155" s="121" t="str">
        <f>IFERROR(INDEX(MASTER!I:I,MATCH(D155,MASTER!G:G,0)),"")</f>
        <v/>
      </c>
      <c r="F155" s="121">
        <f t="shared" si="2"/>
        <v>0</v>
      </c>
    </row>
    <row r="156" spans="1:6" ht="24.95" customHeight="1" x14ac:dyDescent="0.25">
      <c r="A156" s="112">
        <v>155</v>
      </c>
      <c r="B156" s="115"/>
      <c r="C156" s="118"/>
      <c r="D156" s="115" t="str">
        <f>IFERROR(INDEX(MASTER!G:G,MATCH(B156,MASTER!F:F,0)),"")</f>
        <v/>
      </c>
      <c r="E156" s="121" t="str">
        <f>IFERROR(INDEX(MASTER!I:I,MATCH(D156,MASTER!G:G,0)),"")</f>
        <v/>
      </c>
      <c r="F156" s="121">
        <f t="shared" si="2"/>
        <v>0</v>
      </c>
    </row>
    <row r="157" spans="1:6" ht="24.95" customHeight="1" x14ac:dyDescent="0.25">
      <c r="A157" s="113">
        <v>156</v>
      </c>
      <c r="B157" s="115"/>
      <c r="C157" s="118"/>
      <c r="D157" s="115" t="str">
        <f>IFERROR(INDEX(MASTER!G:G,MATCH(B157,MASTER!F:F,0)),"")</f>
        <v/>
      </c>
      <c r="E157" s="121" t="str">
        <f>IFERROR(INDEX(MASTER!I:I,MATCH(D157,MASTER!G:G,0)),"")</f>
        <v/>
      </c>
      <c r="F157" s="121">
        <f t="shared" si="2"/>
        <v>0</v>
      </c>
    </row>
    <row r="158" spans="1:6" ht="24.95" customHeight="1" x14ac:dyDescent="0.25">
      <c r="A158" s="112">
        <v>157</v>
      </c>
      <c r="B158" s="115"/>
      <c r="C158" s="118"/>
      <c r="D158" s="115" t="str">
        <f>IFERROR(INDEX(MASTER!G:G,MATCH(B158,MASTER!F:F,0)),"")</f>
        <v/>
      </c>
      <c r="E158" s="121" t="str">
        <f>IFERROR(INDEX(MASTER!I:I,MATCH(D158,MASTER!G:G,0)),"")</f>
        <v/>
      </c>
      <c r="F158" s="121">
        <f t="shared" si="2"/>
        <v>0</v>
      </c>
    </row>
    <row r="159" spans="1:6" ht="24.95" customHeight="1" x14ac:dyDescent="0.25">
      <c r="A159" s="113">
        <v>158</v>
      </c>
      <c r="B159" s="115"/>
      <c r="C159" s="118"/>
      <c r="D159" s="115" t="str">
        <f>IFERROR(INDEX(MASTER!G:G,MATCH(B159,MASTER!F:F,0)),"")</f>
        <v/>
      </c>
      <c r="E159" s="121" t="str">
        <f>IFERROR(INDEX(MASTER!I:I,MATCH(D159,MASTER!G:G,0)),"")</f>
        <v/>
      </c>
      <c r="F159" s="121">
        <f t="shared" si="2"/>
        <v>0</v>
      </c>
    </row>
    <row r="160" spans="1:6" ht="24.95" customHeight="1" x14ac:dyDescent="0.25">
      <c r="A160" s="112">
        <v>159</v>
      </c>
      <c r="B160" s="115"/>
      <c r="C160" s="118"/>
      <c r="D160" s="115" t="str">
        <f>IFERROR(INDEX(MASTER!G:G,MATCH(B160,MASTER!F:F,0)),"")</f>
        <v/>
      </c>
      <c r="E160" s="121" t="str">
        <f>IFERROR(INDEX(MASTER!I:I,MATCH(D160,MASTER!G:G,0)),"")</f>
        <v/>
      </c>
      <c r="F160" s="121">
        <f t="shared" si="2"/>
        <v>0</v>
      </c>
    </row>
    <row r="161" spans="1:6" ht="24.95" customHeight="1" x14ac:dyDescent="0.25">
      <c r="A161" s="113">
        <v>160</v>
      </c>
      <c r="B161" s="115"/>
      <c r="C161" s="118"/>
      <c r="D161" s="115" t="str">
        <f>IFERROR(INDEX(MASTER!G:G,MATCH(B161,MASTER!F:F,0)),"")</f>
        <v/>
      </c>
      <c r="E161" s="121" t="str">
        <f>IFERROR(INDEX(MASTER!I:I,MATCH(D161,MASTER!G:G,0)),"")</f>
        <v/>
      </c>
      <c r="F161" s="121">
        <f t="shared" si="2"/>
        <v>0</v>
      </c>
    </row>
    <row r="162" spans="1:6" ht="24.95" customHeight="1" x14ac:dyDescent="0.25">
      <c r="A162" s="112">
        <v>161</v>
      </c>
      <c r="B162" s="115"/>
      <c r="C162" s="118"/>
      <c r="D162" s="115" t="str">
        <f>IFERROR(INDEX(MASTER!G:G,MATCH(B162,MASTER!F:F,0)),"")</f>
        <v/>
      </c>
      <c r="E162" s="121" t="str">
        <f>IFERROR(INDEX(MASTER!I:I,MATCH(D162,MASTER!G:G,0)),"")</f>
        <v/>
      </c>
      <c r="F162" s="121">
        <f t="shared" si="2"/>
        <v>0</v>
      </c>
    </row>
    <row r="163" spans="1:6" ht="24.95" customHeight="1" x14ac:dyDescent="0.25">
      <c r="A163" s="113">
        <v>162</v>
      </c>
      <c r="B163" s="115"/>
      <c r="C163" s="118"/>
      <c r="D163" s="115" t="str">
        <f>IFERROR(INDEX(MASTER!G:G,MATCH(B163,MASTER!F:F,0)),"")</f>
        <v/>
      </c>
      <c r="E163" s="121" t="str">
        <f>IFERROR(INDEX(MASTER!I:I,MATCH(D163,MASTER!G:G,0)),"")</f>
        <v/>
      </c>
      <c r="F163" s="121">
        <f t="shared" si="2"/>
        <v>0</v>
      </c>
    </row>
    <row r="164" spans="1:6" ht="24.95" customHeight="1" x14ac:dyDescent="0.25">
      <c r="A164" s="112">
        <v>163</v>
      </c>
      <c r="B164" s="115"/>
      <c r="C164" s="118"/>
      <c r="D164" s="115" t="str">
        <f>IFERROR(INDEX(MASTER!G:G,MATCH(B164,MASTER!F:F,0)),"")</f>
        <v/>
      </c>
      <c r="E164" s="121" t="str">
        <f>IFERROR(INDEX(MASTER!I:I,MATCH(D164,MASTER!G:G,0)),"")</f>
        <v/>
      </c>
      <c r="F164" s="121">
        <f t="shared" si="2"/>
        <v>0</v>
      </c>
    </row>
    <row r="165" spans="1:6" ht="24.95" customHeight="1" x14ac:dyDescent="0.25">
      <c r="A165" s="113">
        <v>164</v>
      </c>
      <c r="B165" s="115"/>
      <c r="C165" s="118"/>
      <c r="D165" s="115" t="str">
        <f>IFERROR(INDEX(MASTER!G:G,MATCH(B165,MASTER!F:F,0)),"")</f>
        <v/>
      </c>
      <c r="E165" s="121" t="str">
        <f>IFERROR(INDEX(MASTER!I:I,MATCH(D165,MASTER!G:G,0)),"")</f>
        <v/>
      </c>
      <c r="F165" s="121">
        <f t="shared" si="2"/>
        <v>0</v>
      </c>
    </row>
    <row r="166" spans="1:6" ht="24.95" customHeight="1" x14ac:dyDescent="0.25">
      <c r="A166" s="112">
        <v>165</v>
      </c>
      <c r="B166" s="115"/>
      <c r="C166" s="118"/>
      <c r="D166" s="115" t="str">
        <f>IFERROR(INDEX(MASTER!G:G,MATCH(B166,MASTER!F:F,0)),"")</f>
        <v/>
      </c>
      <c r="E166" s="121" t="str">
        <f>IFERROR(INDEX(MASTER!I:I,MATCH(D166,MASTER!G:G,0)),"")</f>
        <v/>
      </c>
      <c r="F166" s="121">
        <f t="shared" si="2"/>
        <v>0</v>
      </c>
    </row>
    <row r="167" spans="1:6" ht="24.95" customHeight="1" x14ac:dyDescent="0.25">
      <c r="A167" s="113">
        <v>166</v>
      </c>
      <c r="B167" s="115"/>
      <c r="C167" s="118"/>
      <c r="D167" s="115" t="str">
        <f>IFERROR(INDEX(MASTER!G:G,MATCH(B167,MASTER!F:F,0)),"")</f>
        <v/>
      </c>
      <c r="E167" s="121" t="str">
        <f>IFERROR(INDEX(MASTER!I:I,MATCH(D167,MASTER!G:G,0)),"")</f>
        <v/>
      </c>
      <c r="F167" s="121">
        <f t="shared" si="2"/>
        <v>0</v>
      </c>
    </row>
    <row r="168" spans="1:6" ht="24.95" customHeight="1" x14ac:dyDescent="0.25">
      <c r="A168" s="112">
        <v>167</v>
      </c>
      <c r="B168" s="115"/>
      <c r="C168" s="118"/>
      <c r="D168" s="115" t="str">
        <f>IFERROR(INDEX(MASTER!G:G,MATCH(B168,MASTER!F:F,0)),"")</f>
        <v/>
      </c>
      <c r="E168" s="121" t="str">
        <f>IFERROR(INDEX(MASTER!I:I,MATCH(D168,MASTER!G:G,0)),"")</f>
        <v/>
      </c>
      <c r="F168" s="121">
        <f t="shared" si="2"/>
        <v>0</v>
      </c>
    </row>
    <row r="169" spans="1:6" ht="24.95" customHeight="1" x14ac:dyDescent="0.25">
      <c r="A169" s="113">
        <v>168</v>
      </c>
      <c r="B169" s="115"/>
      <c r="C169" s="118"/>
      <c r="D169" s="115" t="str">
        <f>IFERROR(INDEX(MASTER!G:G,MATCH(B169,MASTER!F:F,0)),"")</f>
        <v/>
      </c>
      <c r="E169" s="121" t="str">
        <f>IFERROR(INDEX(MASTER!I:I,MATCH(D169,MASTER!G:G,0)),"")</f>
        <v/>
      </c>
      <c r="F169" s="121">
        <f t="shared" si="2"/>
        <v>0</v>
      </c>
    </row>
    <row r="170" spans="1:6" ht="24.95" customHeight="1" x14ac:dyDescent="0.25">
      <c r="A170" s="112">
        <v>169</v>
      </c>
      <c r="B170" s="115"/>
      <c r="C170" s="118"/>
      <c r="D170" s="115" t="str">
        <f>IFERROR(INDEX(MASTER!G:G,MATCH(B170,MASTER!F:F,0)),"")</f>
        <v/>
      </c>
      <c r="E170" s="121" t="str">
        <f>IFERROR(INDEX(MASTER!I:I,MATCH(D170,MASTER!G:G,0)),"")</f>
        <v/>
      </c>
      <c r="F170" s="121">
        <f t="shared" si="2"/>
        <v>0</v>
      </c>
    </row>
    <row r="171" spans="1:6" ht="24.95" customHeight="1" x14ac:dyDescent="0.25">
      <c r="A171" s="113">
        <v>170</v>
      </c>
      <c r="B171" s="115"/>
      <c r="C171" s="118"/>
      <c r="D171" s="115" t="str">
        <f>IFERROR(INDEX(MASTER!G:G,MATCH(B171,MASTER!F:F,0)),"")</f>
        <v/>
      </c>
      <c r="E171" s="121" t="str">
        <f>IFERROR(INDEX(MASTER!I:I,MATCH(D171,MASTER!G:G,0)),"")</f>
        <v/>
      </c>
      <c r="F171" s="121">
        <f t="shared" si="2"/>
        <v>0</v>
      </c>
    </row>
    <row r="172" spans="1:6" ht="24.95" customHeight="1" x14ac:dyDescent="0.25">
      <c r="A172" s="112">
        <v>171</v>
      </c>
      <c r="B172" s="115"/>
      <c r="C172" s="118"/>
      <c r="D172" s="115" t="str">
        <f>IFERROR(INDEX(MASTER!G:G,MATCH(B172,MASTER!F:F,0)),"")</f>
        <v/>
      </c>
      <c r="E172" s="121" t="str">
        <f>IFERROR(INDEX(MASTER!I:I,MATCH(D172,MASTER!G:G,0)),"")</f>
        <v/>
      </c>
      <c r="F172" s="121">
        <f t="shared" si="2"/>
        <v>0</v>
      </c>
    </row>
    <row r="173" spans="1:6" ht="24.95" customHeight="1" x14ac:dyDescent="0.25">
      <c r="A173" s="113">
        <v>172</v>
      </c>
      <c r="B173" s="115"/>
      <c r="C173" s="118"/>
      <c r="D173" s="115" t="str">
        <f>IFERROR(INDEX(MASTER!G:G,MATCH(B173,MASTER!F:F,0)),"")</f>
        <v/>
      </c>
      <c r="E173" s="121" t="str">
        <f>IFERROR(INDEX(MASTER!I:I,MATCH(D173,MASTER!G:G,0)),"")</f>
        <v/>
      </c>
      <c r="F173" s="121">
        <f t="shared" si="2"/>
        <v>0</v>
      </c>
    </row>
    <row r="174" spans="1:6" ht="24.95" customHeight="1" x14ac:dyDescent="0.25">
      <c r="A174" s="112">
        <v>173</v>
      </c>
      <c r="B174" s="115"/>
      <c r="C174" s="118"/>
      <c r="D174" s="115" t="str">
        <f>IFERROR(INDEX(MASTER!G:G,MATCH(B174,MASTER!F:F,0)),"")</f>
        <v/>
      </c>
      <c r="E174" s="121" t="str">
        <f>IFERROR(INDEX(MASTER!I:I,MATCH(D174,MASTER!G:G,0)),"")</f>
        <v/>
      </c>
      <c r="F174" s="121">
        <f t="shared" si="2"/>
        <v>0</v>
      </c>
    </row>
    <row r="175" spans="1:6" ht="24.95" customHeight="1" x14ac:dyDescent="0.25">
      <c r="A175" s="113">
        <v>174</v>
      </c>
      <c r="B175" s="115"/>
      <c r="C175" s="118"/>
      <c r="D175" s="115" t="str">
        <f>IFERROR(INDEX(MASTER!G:G,MATCH(B175,MASTER!F:F,0)),"")</f>
        <v/>
      </c>
      <c r="E175" s="121" t="str">
        <f>IFERROR(INDEX(MASTER!I:I,MATCH(D175,MASTER!G:G,0)),"")</f>
        <v/>
      </c>
      <c r="F175" s="121">
        <f t="shared" si="2"/>
        <v>0</v>
      </c>
    </row>
    <row r="176" spans="1:6" ht="24.95" customHeight="1" x14ac:dyDescent="0.25">
      <c r="A176" s="112">
        <v>175</v>
      </c>
      <c r="B176" s="115"/>
      <c r="C176" s="118"/>
      <c r="D176" s="115" t="str">
        <f>IFERROR(INDEX(MASTER!G:G,MATCH(B176,MASTER!F:F,0)),"")</f>
        <v/>
      </c>
      <c r="E176" s="121" t="str">
        <f>IFERROR(INDEX(MASTER!I:I,MATCH(D176,MASTER!G:G,0)),"")</f>
        <v/>
      </c>
      <c r="F176" s="121">
        <f t="shared" si="2"/>
        <v>0</v>
      </c>
    </row>
    <row r="177" spans="1:6" ht="24.95" customHeight="1" x14ac:dyDescent="0.25">
      <c r="A177" s="113">
        <v>176</v>
      </c>
      <c r="B177" s="115"/>
      <c r="C177" s="118"/>
      <c r="D177" s="115" t="str">
        <f>IFERROR(INDEX(MASTER!G:G,MATCH(B177,MASTER!F:F,0)),"")</f>
        <v/>
      </c>
      <c r="E177" s="121" t="str">
        <f>IFERROR(INDEX(MASTER!I:I,MATCH(D177,MASTER!G:G,0)),"")</f>
        <v/>
      </c>
      <c r="F177" s="121">
        <f t="shared" si="2"/>
        <v>0</v>
      </c>
    </row>
    <row r="178" spans="1:6" ht="24.95" customHeight="1" x14ac:dyDescent="0.25">
      <c r="A178" s="112">
        <v>177</v>
      </c>
      <c r="B178" s="115"/>
      <c r="C178" s="118"/>
      <c r="D178" s="115" t="str">
        <f>IFERROR(INDEX(MASTER!G:G,MATCH(B178,MASTER!F:F,0)),"")</f>
        <v/>
      </c>
      <c r="E178" s="121" t="str">
        <f>IFERROR(INDEX(MASTER!I:I,MATCH(D178,MASTER!G:G,0)),"")</f>
        <v/>
      </c>
      <c r="F178" s="121">
        <f t="shared" si="2"/>
        <v>0</v>
      </c>
    </row>
    <row r="179" spans="1:6" ht="24.95" customHeight="1" x14ac:dyDescent="0.25">
      <c r="A179" s="113">
        <v>178</v>
      </c>
      <c r="B179" s="115"/>
      <c r="C179" s="118"/>
      <c r="D179" s="115" t="str">
        <f>IFERROR(INDEX(MASTER!G:G,MATCH(B179,MASTER!F:F,0)),"")</f>
        <v/>
      </c>
      <c r="E179" s="121" t="str">
        <f>IFERROR(INDEX(MASTER!I:I,MATCH(D179,MASTER!G:G,0)),"")</f>
        <v/>
      </c>
      <c r="F179" s="121">
        <f t="shared" si="2"/>
        <v>0</v>
      </c>
    </row>
    <row r="180" spans="1:6" ht="24.95" customHeight="1" x14ac:dyDescent="0.25">
      <c r="A180" s="112">
        <v>179</v>
      </c>
      <c r="B180" s="115"/>
      <c r="C180" s="118"/>
      <c r="D180" s="115" t="str">
        <f>IFERROR(INDEX(MASTER!G:G,MATCH(B180,MASTER!F:F,0)),"")</f>
        <v/>
      </c>
      <c r="E180" s="121" t="str">
        <f>IFERROR(INDEX(MASTER!I:I,MATCH(D180,MASTER!G:G,0)),"")</f>
        <v/>
      </c>
      <c r="F180" s="121">
        <f t="shared" si="2"/>
        <v>0</v>
      </c>
    </row>
    <row r="181" spans="1:6" ht="24.95" customHeight="1" x14ac:dyDescent="0.25">
      <c r="A181" s="113">
        <v>180</v>
      </c>
      <c r="B181" s="115"/>
      <c r="C181" s="118"/>
      <c r="D181" s="115" t="str">
        <f>IFERROR(INDEX(MASTER!G:G,MATCH(B181,MASTER!F:F,0)),"")</f>
        <v/>
      </c>
      <c r="E181" s="121" t="str">
        <f>IFERROR(INDEX(MASTER!I:I,MATCH(D181,MASTER!G:G,0)),"")</f>
        <v/>
      </c>
      <c r="F181" s="121">
        <f t="shared" si="2"/>
        <v>0</v>
      </c>
    </row>
    <row r="182" spans="1:6" ht="24.95" customHeight="1" x14ac:dyDescent="0.25">
      <c r="A182" s="112">
        <v>181</v>
      </c>
      <c r="B182" s="115"/>
      <c r="C182" s="118"/>
      <c r="D182" s="115" t="str">
        <f>IFERROR(INDEX(MASTER!G:G,MATCH(B182,MASTER!F:F,0)),"")</f>
        <v/>
      </c>
      <c r="E182" s="121" t="str">
        <f>IFERROR(INDEX(MASTER!I:I,MATCH(D182,MASTER!G:G,0)),"")</f>
        <v/>
      </c>
      <c r="F182" s="121">
        <f t="shared" si="2"/>
        <v>0</v>
      </c>
    </row>
    <row r="183" spans="1:6" ht="24.95" customHeight="1" x14ac:dyDescent="0.25">
      <c r="A183" s="113">
        <v>182</v>
      </c>
      <c r="B183" s="115"/>
      <c r="C183" s="118"/>
      <c r="D183" s="115" t="str">
        <f>IFERROR(INDEX(MASTER!G:G,MATCH(B183,MASTER!F:F,0)),"")</f>
        <v/>
      </c>
      <c r="E183" s="121" t="str">
        <f>IFERROR(INDEX(MASTER!I:I,MATCH(D183,MASTER!G:G,0)),"")</f>
        <v/>
      </c>
      <c r="F183" s="121">
        <f t="shared" si="2"/>
        <v>0</v>
      </c>
    </row>
    <row r="184" spans="1:6" ht="24.95" customHeight="1" x14ac:dyDescent="0.25">
      <c r="A184" s="112">
        <v>183</v>
      </c>
      <c r="B184" s="115"/>
      <c r="C184" s="118"/>
      <c r="D184" s="115" t="str">
        <f>IFERROR(INDEX(MASTER!G:G,MATCH(B184,MASTER!F:F,0)),"")</f>
        <v/>
      </c>
      <c r="E184" s="121" t="str">
        <f>IFERROR(INDEX(MASTER!I:I,MATCH(D184,MASTER!G:G,0)),"")</f>
        <v/>
      </c>
      <c r="F184" s="121">
        <f t="shared" si="2"/>
        <v>0</v>
      </c>
    </row>
    <row r="185" spans="1:6" ht="24.95" customHeight="1" x14ac:dyDescent="0.25">
      <c r="A185" s="113">
        <v>184</v>
      </c>
      <c r="B185" s="115"/>
      <c r="C185" s="118"/>
      <c r="D185" s="115" t="str">
        <f>IFERROR(INDEX(MASTER!G:G,MATCH(B185,MASTER!F:F,0)),"")</f>
        <v/>
      </c>
      <c r="E185" s="121" t="str">
        <f>IFERROR(INDEX(MASTER!I:I,MATCH(D185,MASTER!G:G,0)),"")</f>
        <v/>
      </c>
      <c r="F185" s="121">
        <f t="shared" si="2"/>
        <v>0</v>
      </c>
    </row>
    <row r="186" spans="1:6" ht="24.95" customHeight="1" x14ac:dyDescent="0.25">
      <c r="A186" s="112">
        <v>185</v>
      </c>
      <c r="B186" s="115"/>
      <c r="C186" s="118"/>
      <c r="D186" s="115" t="str">
        <f>IFERROR(INDEX(MASTER!G:G,MATCH(B186,MASTER!F:F,0)),"")</f>
        <v/>
      </c>
      <c r="E186" s="121" t="str">
        <f>IFERROR(INDEX(MASTER!I:I,MATCH(D186,MASTER!G:G,0)),"")</f>
        <v/>
      </c>
      <c r="F186" s="121">
        <f t="shared" si="2"/>
        <v>0</v>
      </c>
    </row>
    <row r="187" spans="1:6" ht="24.95" customHeight="1" x14ac:dyDescent="0.25">
      <c r="A187" s="113">
        <v>186</v>
      </c>
      <c r="B187" s="115"/>
      <c r="C187" s="118"/>
      <c r="D187" s="115" t="str">
        <f>IFERROR(INDEX(MASTER!G:G,MATCH(B187,MASTER!F:F,0)),"")</f>
        <v/>
      </c>
      <c r="E187" s="121" t="str">
        <f>IFERROR(INDEX(MASTER!I:I,MATCH(D187,MASTER!G:G,0)),"")</f>
        <v/>
      </c>
      <c r="F187" s="121">
        <f t="shared" si="2"/>
        <v>0</v>
      </c>
    </row>
    <row r="188" spans="1:6" ht="24.95" customHeight="1" x14ac:dyDescent="0.25">
      <c r="A188" s="112">
        <v>187</v>
      </c>
      <c r="B188" s="115"/>
      <c r="C188" s="118"/>
      <c r="D188" s="115" t="str">
        <f>IFERROR(INDEX(MASTER!G:G,MATCH(B188,MASTER!F:F,0)),"")</f>
        <v/>
      </c>
      <c r="E188" s="121" t="str">
        <f>IFERROR(INDEX(MASTER!I:I,MATCH(D188,MASTER!G:G,0)),"")</f>
        <v/>
      </c>
      <c r="F188" s="121">
        <f t="shared" si="2"/>
        <v>0</v>
      </c>
    </row>
    <row r="189" spans="1:6" ht="24.95" customHeight="1" x14ac:dyDescent="0.25">
      <c r="A189" s="113">
        <v>188</v>
      </c>
      <c r="B189" s="115"/>
      <c r="C189" s="118"/>
      <c r="D189" s="115" t="str">
        <f>IFERROR(INDEX(MASTER!G:G,MATCH(B189,MASTER!F:F,0)),"")</f>
        <v/>
      </c>
      <c r="E189" s="121" t="str">
        <f>IFERROR(INDEX(MASTER!I:I,MATCH(D189,MASTER!G:G,0)),"")</f>
        <v/>
      </c>
      <c r="F189" s="121">
        <f t="shared" si="2"/>
        <v>0</v>
      </c>
    </row>
    <row r="190" spans="1:6" ht="24.95" customHeight="1" x14ac:dyDescent="0.25">
      <c r="A190" s="112">
        <v>189</v>
      </c>
      <c r="B190" s="115"/>
      <c r="C190" s="118"/>
      <c r="D190" s="115" t="str">
        <f>IFERROR(INDEX(MASTER!G:G,MATCH(B190,MASTER!F:F,0)),"")</f>
        <v/>
      </c>
      <c r="E190" s="121" t="str">
        <f>IFERROR(INDEX(MASTER!I:I,MATCH(D190,MASTER!G:G,0)),"")</f>
        <v/>
      </c>
      <c r="F190" s="121">
        <f t="shared" si="2"/>
        <v>0</v>
      </c>
    </row>
    <row r="191" spans="1:6" ht="24.95" customHeight="1" x14ac:dyDescent="0.25">
      <c r="A191" s="113">
        <v>190</v>
      </c>
      <c r="B191" s="115"/>
      <c r="C191" s="118"/>
      <c r="D191" s="115" t="str">
        <f>IFERROR(INDEX(MASTER!G:G,MATCH(B191,MASTER!F:F,0)),"")</f>
        <v/>
      </c>
      <c r="E191" s="121" t="str">
        <f>IFERROR(INDEX(MASTER!I:I,MATCH(D191,MASTER!G:G,0)),"")</f>
        <v/>
      </c>
      <c r="F191" s="121">
        <f t="shared" si="2"/>
        <v>0</v>
      </c>
    </row>
    <row r="192" spans="1:6" ht="24.95" customHeight="1" x14ac:dyDescent="0.25">
      <c r="A192" s="112">
        <v>191</v>
      </c>
      <c r="B192" s="115"/>
      <c r="C192" s="118"/>
      <c r="D192" s="115" t="str">
        <f>IFERROR(INDEX(MASTER!G:G,MATCH(B192,MASTER!F:F,0)),"")</f>
        <v/>
      </c>
      <c r="E192" s="121" t="str">
        <f>IFERROR(INDEX(MASTER!I:I,MATCH(D192,MASTER!G:G,0)),"")</f>
        <v/>
      </c>
      <c r="F192" s="121">
        <f t="shared" si="2"/>
        <v>0</v>
      </c>
    </row>
    <row r="193" spans="1:6" ht="24.95" customHeight="1" x14ac:dyDescent="0.25">
      <c r="A193" s="113">
        <v>192</v>
      </c>
      <c r="B193" s="115"/>
      <c r="C193" s="118"/>
      <c r="D193" s="115" t="str">
        <f>IFERROR(INDEX(MASTER!G:G,MATCH(B193,MASTER!F:F,0)),"")</f>
        <v/>
      </c>
      <c r="E193" s="121" t="str">
        <f>IFERROR(INDEX(MASTER!I:I,MATCH(D193,MASTER!G:G,0)),"")</f>
        <v/>
      </c>
      <c r="F193" s="121">
        <f t="shared" si="2"/>
        <v>0</v>
      </c>
    </row>
    <row r="194" spans="1:6" ht="24.95" customHeight="1" x14ac:dyDescent="0.25">
      <c r="A194" s="112">
        <v>193</v>
      </c>
      <c r="B194" s="115"/>
      <c r="C194" s="118"/>
      <c r="D194" s="115" t="str">
        <f>IFERROR(INDEX(MASTER!G:G,MATCH(B194,MASTER!F:F,0)),"")</f>
        <v/>
      </c>
      <c r="E194" s="121" t="str">
        <f>IFERROR(INDEX(MASTER!I:I,MATCH(D194,MASTER!G:G,0)),"")</f>
        <v/>
      </c>
      <c r="F194" s="121">
        <f t="shared" si="2"/>
        <v>0</v>
      </c>
    </row>
    <row r="195" spans="1:6" ht="24.95" customHeight="1" x14ac:dyDescent="0.25">
      <c r="A195" s="113">
        <v>194</v>
      </c>
      <c r="B195" s="115"/>
      <c r="C195" s="118"/>
      <c r="D195" s="115" t="str">
        <f>IFERROR(INDEX(MASTER!G:G,MATCH(B195,MASTER!F:F,0)),"")</f>
        <v/>
      </c>
      <c r="E195" s="121" t="str">
        <f>IFERROR(INDEX(MASTER!I:I,MATCH(D195,MASTER!G:G,0)),"")</f>
        <v/>
      </c>
      <c r="F195" s="121">
        <f t="shared" ref="F195:F201" si="3">+C195</f>
        <v>0</v>
      </c>
    </row>
    <row r="196" spans="1:6" ht="24.95" customHeight="1" x14ac:dyDescent="0.25">
      <c r="A196" s="112">
        <v>195</v>
      </c>
      <c r="B196" s="115"/>
      <c r="C196" s="118"/>
      <c r="D196" s="115" t="str">
        <f>IFERROR(INDEX(MASTER!G:G,MATCH(B196,MASTER!F:F,0)),"")</f>
        <v/>
      </c>
      <c r="E196" s="121" t="str">
        <f>IFERROR(INDEX(MASTER!I:I,MATCH(D196,MASTER!G:G,0)),"")</f>
        <v/>
      </c>
      <c r="F196" s="121">
        <f t="shared" si="3"/>
        <v>0</v>
      </c>
    </row>
    <row r="197" spans="1:6" ht="24.95" customHeight="1" x14ac:dyDescent="0.25">
      <c r="A197" s="113">
        <v>196</v>
      </c>
      <c r="B197" s="115"/>
      <c r="C197" s="118"/>
      <c r="D197" s="115" t="str">
        <f>IFERROR(INDEX(MASTER!G:G,MATCH(B197,MASTER!F:F,0)),"")</f>
        <v/>
      </c>
      <c r="E197" s="121" t="str">
        <f>IFERROR(INDEX(MASTER!I:I,MATCH(D197,MASTER!G:G,0)),"")</f>
        <v/>
      </c>
      <c r="F197" s="121">
        <f t="shared" si="3"/>
        <v>0</v>
      </c>
    </row>
    <row r="198" spans="1:6" ht="24.95" customHeight="1" x14ac:dyDescent="0.25">
      <c r="A198" s="112">
        <v>197</v>
      </c>
      <c r="B198" s="115"/>
      <c r="C198" s="118"/>
      <c r="D198" s="115" t="str">
        <f>IFERROR(INDEX(MASTER!G:G,MATCH(B198,MASTER!F:F,0)),"")</f>
        <v/>
      </c>
      <c r="E198" s="121" t="str">
        <f>IFERROR(INDEX(MASTER!I:I,MATCH(D198,MASTER!G:G,0)),"")</f>
        <v/>
      </c>
      <c r="F198" s="121">
        <f t="shared" si="3"/>
        <v>0</v>
      </c>
    </row>
    <row r="199" spans="1:6" ht="24.95" customHeight="1" x14ac:dyDescent="0.25">
      <c r="A199" s="113">
        <v>198</v>
      </c>
      <c r="B199" s="115"/>
      <c r="C199" s="118"/>
      <c r="D199" s="115" t="str">
        <f>IFERROR(INDEX(MASTER!G:G,MATCH(B199,MASTER!F:F,0)),"")</f>
        <v/>
      </c>
      <c r="E199" s="121" t="str">
        <f>IFERROR(INDEX(MASTER!I:I,MATCH(D199,MASTER!G:G,0)),"")</f>
        <v/>
      </c>
      <c r="F199" s="121">
        <f t="shared" si="3"/>
        <v>0</v>
      </c>
    </row>
    <row r="200" spans="1:6" ht="24.95" customHeight="1" x14ac:dyDescent="0.25">
      <c r="A200" s="112">
        <v>199</v>
      </c>
      <c r="B200" s="115"/>
      <c r="C200" s="118"/>
      <c r="D200" s="115" t="str">
        <f>IFERROR(INDEX(MASTER!G:G,MATCH(B200,MASTER!F:F,0)),"")</f>
        <v/>
      </c>
      <c r="E200" s="121" t="str">
        <f>IFERROR(INDEX(MASTER!I:I,MATCH(D200,MASTER!G:G,0)),"")</f>
        <v/>
      </c>
      <c r="F200" s="121">
        <f t="shared" si="3"/>
        <v>0</v>
      </c>
    </row>
    <row r="201" spans="1:6" ht="24.95" customHeight="1" thickBot="1" x14ac:dyDescent="0.3">
      <c r="A201" s="125">
        <v>200</v>
      </c>
      <c r="B201" s="126"/>
      <c r="C201" s="127"/>
      <c r="D201" s="116" t="str">
        <f>IFERROR(INDEX(MASTER!G:G,MATCH(B201,MASTER!F:F,0)),"")</f>
        <v/>
      </c>
      <c r="E201" s="121" t="str">
        <f>IFERROR(INDEX(MASTER!I:I,MATCH(D201,MASTER!G:G,0)),"")</f>
        <v/>
      </c>
      <c r="F201" s="128">
        <f t="shared" si="3"/>
        <v>0</v>
      </c>
    </row>
    <row r="202" spans="1:6" ht="24.95" customHeight="1" thickBot="1" x14ac:dyDescent="0.3">
      <c r="A202" s="130"/>
      <c r="B202" s="131" t="s">
        <v>701</v>
      </c>
      <c r="C202" s="129">
        <f>SUM(C2:C201)</f>
        <v>120</v>
      </c>
      <c r="D202" s="164"/>
      <c r="E202" s="165"/>
      <c r="F202" s="129">
        <f>SUM(F2:F201)</f>
        <v>120</v>
      </c>
    </row>
  </sheetData>
  <mergeCells count="1">
    <mergeCell ref="D202:E2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20.25" x14ac:dyDescent="0.3"/>
  <cols>
    <col min="1" max="1" width="8.28515625" style="92" bestFit="1" customWidth="1"/>
    <col min="2" max="2" width="15.5703125" style="92" customWidth="1"/>
    <col min="3" max="3" width="16.28515625" style="92" customWidth="1"/>
    <col min="4" max="4" width="14.5703125" style="92" customWidth="1"/>
    <col min="5" max="5" width="8" style="92" bestFit="1" customWidth="1"/>
    <col min="6" max="6" width="20.140625" style="92" hidden="1" customWidth="1"/>
    <col min="7" max="7" width="52.140625" style="92" bestFit="1" customWidth="1"/>
    <col min="8" max="8" width="8" style="92" bestFit="1" customWidth="1"/>
    <col min="9" max="16384" width="9.140625" style="90"/>
  </cols>
  <sheetData>
    <row r="1" spans="1:8" ht="45" customHeight="1" thickBot="1" x14ac:dyDescent="0.35">
      <c r="A1" s="93" t="s">
        <v>700</v>
      </c>
      <c r="B1" s="96" t="s">
        <v>9</v>
      </c>
      <c r="C1" s="99" t="s">
        <v>45</v>
      </c>
      <c r="D1" s="96" t="s">
        <v>275</v>
      </c>
      <c r="E1" s="99" t="s">
        <v>46</v>
      </c>
      <c r="F1" s="96" t="s">
        <v>17</v>
      </c>
      <c r="G1" s="96" t="s">
        <v>0</v>
      </c>
      <c r="H1" s="102" t="s">
        <v>46</v>
      </c>
    </row>
    <row r="2" spans="1:8" ht="24.95" customHeight="1" x14ac:dyDescent="0.3">
      <c r="A2" s="94">
        <v>1</v>
      </c>
      <c r="B2" s="97" t="s">
        <v>390</v>
      </c>
      <c r="C2" s="100" t="s">
        <v>391</v>
      </c>
      <c r="D2" s="97">
        <v>18</v>
      </c>
      <c r="E2" s="100">
        <v>20</v>
      </c>
      <c r="F2" s="97" t="str">
        <f>B2&amp;"-"&amp;C2&amp;"-"&amp;D2</f>
        <v>INS-GRN-18</v>
      </c>
      <c r="G2" s="97" t="str">
        <f>IFERROR(INDEX(MASTER!L:L,MATCH(F2,MASTER!K:K,0)),"")</f>
        <v>SFG-INSRBGRN-LTX-BOR-18CM</v>
      </c>
      <c r="H2" s="103">
        <f>+E2</f>
        <v>20</v>
      </c>
    </row>
    <row r="3" spans="1:8" ht="24.95" customHeight="1" x14ac:dyDescent="0.3">
      <c r="A3" s="95">
        <v>2</v>
      </c>
      <c r="B3" s="98"/>
      <c r="C3" s="101"/>
      <c r="D3" s="98"/>
      <c r="E3" s="101"/>
      <c r="F3" s="98"/>
      <c r="G3" s="98" t="str">
        <f>IFERROR(INDEX(MASTER!L:L,MATCH(E3,MASTER!K:K,0)),"")</f>
        <v/>
      </c>
      <c r="H3" s="104"/>
    </row>
    <row r="4" spans="1:8" ht="24.95" customHeight="1" x14ac:dyDescent="0.3">
      <c r="A4" s="95">
        <v>3</v>
      </c>
      <c r="B4" s="98"/>
      <c r="C4" s="101"/>
      <c r="D4" s="98"/>
      <c r="E4" s="101"/>
      <c r="F4" s="98"/>
      <c r="G4" s="98" t="str">
        <f>IFERROR(INDEX(MASTER!L:L,MATCH(E4,MASTER!K:K,0)),"")</f>
        <v/>
      </c>
      <c r="H4" s="104"/>
    </row>
    <row r="5" spans="1:8" ht="24.95" customHeight="1" x14ac:dyDescent="0.3">
      <c r="A5" s="95">
        <v>4</v>
      </c>
      <c r="B5" s="98"/>
      <c r="C5" s="101"/>
      <c r="D5" s="98"/>
      <c r="E5" s="101"/>
      <c r="F5" s="98"/>
      <c r="G5" s="98" t="str">
        <f>IFERROR(INDEX(MASTER!L:L,MATCH(E5,MASTER!K:K,0)),"")</f>
        <v/>
      </c>
      <c r="H5" s="104"/>
    </row>
    <row r="6" spans="1:8" ht="24.95" customHeight="1" x14ac:dyDescent="0.3">
      <c r="A6" s="95">
        <v>5</v>
      </c>
      <c r="B6" s="98"/>
      <c r="C6" s="101"/>
      <c r="D6" s="98"/>
      <c r="E6" s="101"/>
      <c r="F6" s="98"/>
      <c r="G6" s="98" t="str">
        <f>IFERROR(INDEX(MASTER!L:L,MATCH(E6,MASTER!K:K,0)),"")</f>
        <v/>
      </c>
      <c r="H6" s="104"/>
    </row>
    <row r="7" spans="1:8" ht="24.95" customHeight="1" x14ac:dyDescent="0.3">
      <c r="A7" s="95">
        <v>6</v>
      </c>
      <c r="B7" s="98"/>
      <c r="C7" s="101"/>
      <c r="D7" s="98"/>
      <c r="E7" s="101"/>
      <c r="F7" s="98"/>
      <c r="G7" s="98" t="str">
        <f>IFERROR(INDEX(MASTER!L:L,MATCH(E7,MASTER!K:K,0)),"")</f>
        <v/>
      </c>
      <c r="H7" s="104"/>
    </row>
    <row r="8" spans="1:8" ht="24.95" customHeight="1" x14ac:dyDescent="0.3">
      <c r="A8" s="95">
        <v>7</v>
      </c>
      <c r="B8" s="98"/>
      <c r="C8" s="101"/>
      <c r="D8" s="98"/>
      <c r="E8" s="101"/>
      <c r="F8" s="98"/>
      <c r="G8" s="98" t="str">
        <f>IFERROR(INDEX(MASTER!L:L,MATCH(E8,MASTER!K:K,0)),"")</f>
        <v/>
      </c>
      <c r="H8" s="104"/>
    </row>
    <row r="9" spans="1:8" ht="24.95" customHeight="1" x14ac:dyDescent="0.3">
      <c r="A9" s="95">
        <v>8</v>
      </c>
      <c r="B9" s="98"/>
      <c r="C9" s="101"/>
      <c r="D9" s="98"/>
      <c r="E9" s="101"/>
      <c r="F9" s="98"/>
      <c r="G9" s="98" t="str">
        <f>IFERROR(INDEX(MASTER!L:L,MATCH(E9,MASTER!K:K,0)),"")</f>
        <v/>
      </c>
      <c r="H9" s="104"/>
    </row>
    <row r="10" spans="1:8" ht="24.95" customHeight="1" x14ac:dyDescent="0.3">
      <c r="A10" s="95">
        <v>9</v>
      </c>
      <c r="B10" s="98"/>
      <c r="C10" s="101"/>
      <c r="D10" s="98"/>
      <c r="E10" s="101"/>
      <c r="F10" s="98"/>
      <c r="G10" s="98" t="str">
        <f>IFERROR(INDEX(MASTER!L:L,MATCH(E10,MASTER!K:K,0)),"")</f>
        <v/>
      </c>
      <c r="H10" s="104"/>
    </row>
    <row r="11" spans="1:8" ht="24.95" customHeight="1" x14ac:dyDescent="0.3">
      <c r="A11" s="95">
        <v>10</v>
      </c>
      <c r="B11" s="98"/>
      <c r="C11" s="101"/>
      <c r="D11" s="98"/>
      <c r="E11" s="101"/>
      <c r="F11" s="98"/>
      <c r="G11" s="98" t="str">
        <f>IFERROR(INDEX(MASTER!L:L,MATCH(E11,MASTER!K:K,0)),"")</f>
        <v/>
      </c>
      <c r="H11" s="104"/>
    </row>
    <row r="12" spans="1:8" ht="24.95" customHeight="1" x14ac:dyDescent="0.3">
      <c r="A12" s="95">
        <v>11</v>
      </c>
      <c r="B12" s="98"/>
      <c r="C12" s="101"/>
      <c r="D12" s="98"/>
      <c r="E12" s="101"/>
      <c r="F12" s="98"/>
      <c r="G12" s="98" t="str">
        <f>IFERROR(INDEX(MASTER!L:L,MATCH(E12,MASTER!K:K,0)),"")</f>
        <v/>
      </c>
      <c r="H12" s="104"/>
    </row>
    <row r="13" spans="1:8" ht="24.95" customHeight="1" x14ac:dyDescent="0.3">
      <c r="A13" s="95">
        <v>12</v>
      </c>
      <c r="B13" s="98"/>
      <c r="C13" s="101"/>
      <c r="D13" s="98"/>
      <c r="E13" s="101"/>
      <c r="F13" s="98"/>
      <c r="G13" s="98" t="str">
        <f>IFERROR(INDEX(MASTER!L:L,MATCH(E13,MASTER!K:K,0)),"")</f>
        <v/>
      </c>
      <c r="H13" s="104"/>
    </row>
    <row r="14" spans="1:8" ht="24.95" customHeight="1" x14ac:dyDescent="0.3">
      <c r="A14" s="95">
        <v>13</v>
      </c>
      <c r="B14" s="98"/>
      <c r="C14" s="101"/>
      <c r="D14" s="98"/>
      <c r="E14" s="101"/>
      <c r="F14" s="98"/>
      <c r="G14" s="98" t="str">
        <f>IFERROR(INDEX(MASTER!L:L,MATCH(E14,MASTER!K:K,0)),"")</f>
        <v/>
      </c>
      <c r="H14" s="104"/>
    </row>
    <row r="15" spans="1:8" ht="24.95" customHeight="1" x14ac:dyDescent="0.3">
      <c r="A15" s="95">
        <v>14</v>
      </c>
      <c r="B15" s="98"/>
      <c r="C15" s="101"/>
      <c r="D15" s="98"/>
      <c r="E15" s="101"/>
      <c r="F15" s="98"/>
      <c r="G15" s="98" t="str">
        <f>IFERROR(INDEX(MASTER!L:L,MATCH(E15,MASTER!K:K,0)),"")</f>
        <v/>
      </c>
      <c r="H15" s="104"/>
    </row>
    <row r="16" spans="1:8" ht="24.95" customHeight="1" x14ac:dyDescent="0.3">
      <c r="A16" s="95">
        <v>15</v>
      </c>
      <c r="B16" s="98"/>
      <c r="C16" s="101"/>
      <c r="D16" s="98"/>
      <c r="E16" s="101"/>
      <c r="F16" s="98"/>
      <c r="G16" s="98" t="str">
        <f>IFERROR(INDEX(MASTER!L:L,MATCH(E16,MASTER!K:K,0)),"")</f>
        <v/>
      </c>
      <c r="H16" s="104"/>
    </row>
    <row r="17" spans="1:8" ht="24.95" customHeight="1" x14ac:dyDescent="0.3">
      <c r="A17" s="95">
        <v>16</v>
      </c>
      <c r="B17" s="98"/>
      <c r="C17" s="101"/>
      <c r="D17" s="98"/>
      <c r="E17" s="101"/>
      <c r="F17" s="98"/>
      <c r="G17" s="98" t="str">
        <f>IFERROR(INDEX(MASTER!L:L,MATCH(E17,MASTER!K:K,0)),"")</f>
        <v/>
      </c>
      <c r="H17" s="104"/>
    </row>
    <row r="18" spans="1:8" ht="24.95" customHeight="1" x14ac:dyDescent="0.3">
      <c r="A18" s="95">
        <v>17</v>
      </c>
      <c r="B18" s="98"/>
      <c r="C18" s="101"/>
      <c r="D18" s="98"/>
      <c r="E18" s="101"/>
      <c r="F18" s="98"/>
      <c r="G18" s="98" t="str">
        <f>IFERROR(INDEX(MASTER!L:L,MATCH(E18,MASTER!K:K,0)),"")</f>
        <v/>
      </c>
      <c r="H18" s="104"/>
    </row>
    <row r="19" spans="1:8" ht="24.95" customHeight="1" x14ac:dyDescent="0.3">
      <c r="A19" s="95">
        <v>18</v>
      </c>
      <c r="B19" s="98"/>
      <c r="C19" s="101"/>
      <c r="D19" s="98"/>
      <c r="E19" s="101"/>
      <c r="F19" s="98"/>
      <c r="G19" s="98" t="str">
        <f>IFERROR(INDEX(MASTER!L:L,MATCH(E19,MASTER!K:K,0)),"")</f>
        <v/>
      </c>
      <c r="H19" s="104"/>
    </row>
    <row r="20" spans="1:8" ht="24.95" customHeight="1" x14ac:dyDescent="0.3">
      <c r="A20" s="95">
        <v>19</v>
      </c>
      <c r="B20" s="98"/>
      <c r="C20" s="101"/>
      <c r="D20" s="98"/>
      <c r="E20" s="101"/>
      <c r="F20" s="98"/>
      <c r="G20" s="98" t="str">
        <f>IFERROR(INDEX(MASTER!L:L,MATCH(E20,MASTER!K:K,0)),"")</f>
        <v/>
      </c>
      <c r="H20" s="104"/>
    </row>
    <row r="21" spans="1:8" ht="24.95" customHeight="1" x14ac:dyDescent="0.3">
      <c r="A21" s="95">
        <v>20</v>
      </c>
      <c r="B21" s="98"/>
      <c r="C21" s="101"/>
      <c r="D21" s="98"/>
      <c r="E21" s="101"/>
      <c r="F21" s="98"/>
      <c r="G21" s="98" t="str">
        <f>IFERROR(INDEX(MASTER!L:L,MATCH(E21,MASTER!K:K,0)),"")</f>
        <v/>
      </c>
      <c r="H21" s="104"/>
    </row>
    <row r="22" spans="1:8" ht="24.95" customHeight="1" x14ac:dyDescent="0.3">
      <c r="A22" s="95">
        <v>21</v>
      </c>
      <c r="B22" s="98"/>
      <c r="C22" s="101"/>
      <c r="D22" s="98"/>
      <c r="E22" s="101"/>
      <c r="F22" s="98"/>
      <c r="G22" s="98" t="str">
        <f>IFERROR(INDEX(MASTER!L:L,MATCH(E22,MASTER!K:K,0)),"")</f>
        <v/>
      </c>
      <c r="H22" s="104"/>
    </row>
    <row r="23" spans="1:8" ht="24.95" customHeight="1" x14ac:dyDescent="0.3">
      <c r="A23" s="95">
        <v>22</v>
      </c>
      <c r="B23" s="98"/>
      <c r="C23" s="101"/>
      <c r="D23" s="98"/>
      <c r="E23" s="101"/>
      <c r="F23" s="98"/>
      <c r="G23" s="98" t="str">
        <f>IFERROR(INDEX(MASTER!L:L,MATCH(E23,MASTER!K:K,0)),"")</f>
        <v/>
      </c>
      <c r="H23" s="104"/>
    </row>
    <row r="24" spans="1:8" ht="24.95" customHeight="1" x14ac:dyDescent="0.3">
      <c r="A24" s="95">
        <v>23</v>
      </c>
      <c r="B24" s="98"/>
      <c r="C24" s="101"/>
      <c r="D24" s="98"/>
      <c r="E24" s="101"/>
      <c r="F24" s="98"/>
      <c r="G24" s="98" t="str">
        <f>IFERROR(INDEX(MASTER!L:L,MATCH(E24,MASTER!K:K,0)),"")</f>
        <v/>
      </c>
      <c r="H24" s="104"/>
    </row>
    <row r="25" spans="1:8" ht="24.95" customHeight="1" x14ac:dyDescent="0.3">
      <c r="A25" s="95">
        <v>24</v>
      </c>
      <c r="B25" s="98"/>
      <c r="C25" s="101"/>
      <c r="D25" s="98"/>
      <c r="E25" s="101"/>
      <c r="F25" s="98"/>
      <c r="G25" s="98" t="str">
        <f>IFERROR(INDEX(MASTER!L:L,MATCH(E25,MASTER!K:K,0)),"")</f>
        <v/>
      </c>
      <c r="H25" s="104"/>
    </row>
    <row r="26" spans="1:8" ht="24.95" customHeight="1" x14ac:dyDescent="0.3">
      <c r="A26" s="95">
        <v>25</v>
      </c>
      <c r="B26" s="98"/>
      <c r="C26" s="101"/>
      <c r="D26" s="98"/>
      <c r="E26" s="101"/>
      <c r="F26" s="98"/>
      <c r="G26" s="98" t="str">
        <f>IFERROR(INDEX(MASTER!L:L,MATCH(E26,MASTER!K:K,0)),"")</f>
        <v/>
      </c>
      <c r="H26" s="104"/>
    </row>
    <row r="27" spans="1:8" ht="24.95" customHeight="1" x14ac:dyDescent="0.3">
      <c r="A27" s="95">
        <v>26</v>
      </c>
      <c r="B27" s="98"/>
      <c r="C27" s="101"/>
      <c r="D27" s="98"/>
      <c r="E27" s="101"/>
      <c r="F27" s="98"/>
      <c r="G27" s="98" t="str">
        <f>IFERROR(INDEX(MASTER!L:L,MATCH(E27,MASTER!K:K,0)),"")</f>
        <v/>
      </c>
      <c r="H27" s="104"/>
    </row>
    <row r="28" spans="1:8" ht="24.95" customHeight="1" x14ac:dyDescent="0.3">
      <c r="A28" s="95">
        <v>27</v>
      </c>
      <c r="B28" s="98"/>
      <c r="C28" s="101"/>
      <c r="D28" s="98"/>
      <c r="E28" s="101"/>
      <c r="F28" s="98"/>
      <c r="G28" s="98" t="str">
        <f>IFERROR(INDEX(MASTER!L:L,MATCH(E28,MASTER!K:K,0)),"")</f>
        <v/>
      </c>
      <c r="H28" s="104"/>
    </row>
    <row r="29" spans="1:8" ht="24.95" customHeight="1" x14ac:dyDescent="0.3">
      <c r="A29" s="95">
        <v>28</v>
      </c>
      <c r="B29" s="98"/>
      <c r="C29" s="101"/>
      <c r="D29" s="98"/>
      <c r="E29" s="101"/>
      <c r="F29" s="98"/>
      <c r="G29" s="98" t="str">
        <f>IFERROR(INDEX(MASTER!L:L,MATCH(E29,MASTER!K:K,0)),"")</f>
        <v/>
      </c>
      <c r="H29" s="104"/>
    </row>
    <row r="30" spans="1:8" ht="24.95" customHeight="1" x14ac:dyDescent="0.3">
      <c r="A30" s="95">
        <v>29</v>
      </c>
      <c r="B30" s="98"/>
      <c r="C30" s="101"/>
      <c r="D30" s="98"/>
      <c r="E30" s="101"/>
      <c r="F30" s="98"/>
      <c r="G30" s="98" t="str">
        <f>IFERROR(INDEX(MASTER!L:L,MATCH(E30,MASTER!K:K,0)),"")</f>
        <v/>
      </c>
      <c r="H30" s="104"/>
    </row>
    <row r="31" spans="1:8" ht="24.95" customHeight="1" x14ac:dyDescent="0.3">
      <c r="A31" s="95">
        <v>30</v>
      </c>
      <c r="B31" s="98"/>
      <c r="C31" s="101"/>
      <c r="D31" s="98"/>
      <c r="E31" s="101"/>
      <c r="F31" s="98"/>
      <c r="G31" s="98" t="str">
        <f>IFERROR(INDEX(MASTER!L:L,MATCH(E31,MASTER!K:K,0)),"")</f>
        <v/>
      </c>
      <c r="H31" s="104"/>
    </row>
    <row r="32" spans="1:8" ht="24.95" customHeight="1" x14ac:dyDescent="0.3">
      <c r="A32" s="95">
        <v>31</v>
      </c>
      <c r="B32" s="98"/>
      <c r="C32" s="101"/>
      <c r="D32" s="98"/>
      <c r="E32" s="101"/>
      <c r="F32" s="98"/>
      <c r="G32" s="98" t="str">
        <f>IFERROR(INDEX(MASTER!L:L,MATCH(E32,MASTER!K:K,0)),"")</f>
        <v/>
      </c>
      <c r="H32" s="104"/>
    </row>
    <row r="33" spans="1:8" ht="24.95" customHeight="1" x14ac:dyDescent="0.3">
      <c r="A33" s="95">
        <v>32</v>
      </c>
      <c r="B33" s="98"/>
      <c r="C33" s="101"/>
      <c r="D33" s="98"/>
      <c r="E33" s="101"/>
      <c r="F33" s="98"/>
      <c r="G33" s="98" t="str">
        <f>IFERROR(INDEX(MASTER!L:L,MATCH(E33,MASTER!K:K,0)),"")</f>
        <v/>
      </c>
      <c r="H33" s="104"/>
    </row>
    <row r="34" spans="1:8" ht="24.95" customHeight="1" x14ac:dyDescent="0.3">
      <c r="A34" s="95">
        <v>33</v>
      </c>
      <c r="B34" s="98"/>
      <c r="C34" s="101"/>
      <c r="D34" s="98"/>
      <c r="E34" s="101"/>
      <c r="F34" s="98"/>
      <c r="G34" s="98" t="str">
        <f>IFERROR(INDEX(MASTER!L:L,MATCH(E34,MASTER!K:K,0)),"")</f>
        <v/>
      </c>
      <c r="H34" s="104"/>
    </row>
    <row r="35" spans="1:8" ht="24.95" customHeight="1" x14ac:dyDescent="0.3">
      <c r="A35" s="95">
        <v>34</v>
      </c>
      <c r="B35" s="98"/>
      <c r="C35" s="101"/>
      <c r="D35" s="98"/>
      <c r="E35" s="101"/>
      <c r="F35" s="98"/>
      <c r="G35" s="98" t="str">
        <f>IFERROR(INDEX(MASTER!L:L,MATCH(E35,MASTER!K:K,0)),"")</f>
        <v/>
      </c>
      <c r="H35" s="104"/>
    </row>
    <row r="36" spans="1:8" ht="24.95" customHeight="1" x14ac:dyDescent="0.3">
      <c r="A36" s="95">
        <v>35</v>
      </c>
      <c r="B36" s="98"/>
      <c r="C36" s="101"/>
      <c r="D36" s="98"/>
      <c r="E36" s="101"/>
      <c r="F36" s="98"/>
      <c r="G36" s="98" t="str">
        <f>IFERROR(INDEX(MASTER!L:L,MATCH(E36,MASTER!K:K,0)),"")</f>
        <v/>
      </c>
      <c r="H36" s="104"/>
    </row>
    <row r="37" spans="1:8" ht="24.95" customHeight="1" x14ac:dyDescent="0.3">
      <c r="A37" s="95">
        <v>36</v>
      </c>
      <c r="B37" s="98"/>
      <c r="C37" s="101"/>
      <c r="D37" s="98"/>
      <c r="E37" s="101"/>
      <c r="F37" s="98"/>
      <c r="G37" s="98" t="str">
        <f>IFERROR(INDEX(MASTER!L:L,MATCH(E37,MASTER!K:K,0)),"")</f>
        <v/>
      </c>
      <c r="H37" s="104"/>
    </row>
    <row r="38" spans="1:8" ht="24.95" customHeight="1" x14ac:dyDescent="0.3">
      <c r="A38" s="95">
        <v>37</v>
      </c>
      <c r="B38" s="98"/>
      <c r="C38" s="101"/>
      <c r="D38" s="98"/>
      <c r="E38" s="101"/>
      <c r="F38" s="98"/>
      <c r="G38" s="98" t="str">
        <f>IFERROR(INDEX(MASTER!L:L,MATCH(E38,MASTER!K:K,0)),"")</f>
        <v/>
      </c>
      <c r="H38" s="104"/>
    </row>
    <row r="39" spans="1:8" ht="24.95" customHeight="1" x14ac:dyDescent="0.3">
      <c r="A39" s="95">
        <v>38</v>
      </c>
      <c r="B39" s="98"/>
      <c r="C39" s="101"/>
      <c r="D39" s="98"/>
      <c r="E39" s="101"/>
      <c r="F39" s="98"/>
      <c r="G39" s="98" t="str">
        <f>IFERROR(INDEX(MASTER!L:L,MATCH(E39,MASTER!K:K,0)),"")</f>
        <v/>
      </c>
      <c r="H39" s="104"/>
    </row>
    <row r="40" spans="1:8" ht="24.95" customHeight="1" x14ac:dyDescent="0.3">
      <c r="A40" s="95">
        <v>39</v>
      </c>
      <c r="B40" s="98"/>
      <c r="C40" s="101"/>
      <c r="D40" s="98"/>
      <c r="E40" s="101"/>
      <c r="F40" s="98"/>
      <c r="G40" s="98" t="str">
        <f>IFERROR(INDEX(MASTER!L:L,MATCH(E40,MASTER!K:K,0)),"")</f>
        <v/>
      </c>
      <c r="H40" s="104"/>
    </row>
    <row r="41" spans="1:8" ht="24.95" customHeight="1" x14ac:dyDescent="0.3">
      <c r="A41" s="95">
        <v>40</v>
      </c>
      <c r="B41" s="98"/>
      <c r="C41" s="101"/>
      <c r="D41" s="98"/>
      <c r="E41" s="101"/>
      <c r="F41" s="98"/>
      <c r="G41" s="98" t="str">
        <f>IFERROR(INDEX(MASTER!L:L,MATCH(E41,MASTER!K:K,0)),"")</f>
        <v/>
      </c>
      <c r="H41" s="104"/>
    </row>
    <row r="42" spans="1:8" ht="24.95" customHeight="1" x14ac:dyDescent="0.3">
      <c r="A42" s="95">
        <v>41</v>
      </c>
      <c r="B42" s="98"/>
      <c r="C42" s="101"/>
      <c r="D42" s="98"/>
      <c r="E42" s="101"/>
      <c r="F42" s="98"/>
      <c r="G42" s="98" t="str">
        <f>IFERROR(INDEX(MASTER!L:L,MATCH(E42,MASTER!K:K,0)),"")</f>
        <v/>
      </c>
      <c r="H42" s="104"/>
    </row>
    <row r="43" spans="1:8" ht="24.95" customHeight="1" x14ac:dyDescent="0.3">
      <c r="A43" s="95">
        <v>42</v>
      </c>
      <c r="B43" s="98"/>
      <c r="C43" s="101"/>
      <c r="D43" s="98"/>
      <c r="E43" s="101"/>
      <c r="F43" s="98"/>
      <c r="G43" s="98" t="str">
        <f>IFERROR(INDEX(MASTER!L:L,MATCH(E43,MASTER!K:K,0)),"")</f>
        <v/>
      </c>
      <c r="H43" s="104"/>
    </row>
    <row r="44" spans="1:8" ht="24.95" customHeight="1" x14ac:dyDescent="0.3">
      <c r="A44" s="95">
        <v>43</v>
      </c>
      <c r="B44" s="98"/>
      <c r="C44" s="101"/>
      <c r="D44" s="98"/>
      <c r="E44" s="101"/>
      <c r="F44" s="98"/>
      <c r="G44" s="98" t="str">
        <f>IFERROR(INDEX(MASTER!L:L,MATCH(E44,MASTER!K:K,0)),"")</f>
        <v/>
      </c>
      <c r="H44" s="104"/>
    </row>
    <row r="45" spans="1:8" ht="24.95" customHeight="1" x14ac:dyDescent="0.3">
      <c r="A45" s="95">
        <v>44</v>
      </c>
      <c r="B45" s="98"/>
      <c r="C45" s="101"/>
      <c r="D45" s="98"/>
      <c r="E45" s="101"/>
      <c r="F45" s="98"/>
      <c r="G45" s="98" t="str">
        <f>IFERROR(INDEX(MASTER!L:L,MATCH(E45,MASTER!K:K,0)),"")</f>
        <v/>
      </c>
      <c r="H45" s="104"/>
    </row>
    <row r="46" spans="1:8" ht="24.95" customHeight="1" x14ac:dyDescent="0.3">
      <c r="A46" s="95">
        <v>45</v>
      </c>
      <c r="B46" s="98"/>
      <c r="C46" s="101"/>
      <c r="D46" s="98"/>
      <c r="E46" s="101"/>
      <c r="F46" s="98"/>
      <c r="G46" s="98" t="str">
        <f>IFERROR(INDEX(MASTER!L:L,MATCH(E46,MASTER!K:K,0)),"")</f>
        <v/>
      </c>
      <c r="H46" s="104"/>
    </row>
    <row r="47" spans="1:8" ht="24.95" customHeight="1" x14ac:dyDescent="0.3">
      <c r="A47" s="95">
        <v>46</v>
      </c>
      <c r="B47" s="98"/>
      <c r="C47" s="101"/>
      <c r="D47" s="98"/>
      <c r="E47" s="101"/>
      <c r="F47" s="98"/>
      <c r="G47" s="98" t="str">
        <f>IFERROR(INDEX(MASTER!L:L,MATCH(E47,MASTER!K:K,0)),"")</f>
        <v/>
      </c>
      <c r="H47" s="104"/>
    </row>
    <row r="48" spans="1:8" ht="24.95" customHeight="1" x14ac:dyDescent="0.3">
      <c r="A48" s="95">
        <v>47</v>
      </c>
      <c r="B48" s="98"/>
      <c r="C48" s="101"/>
      <c r="D48" s="98"/>
      <c r="E48" s="101"/>
      <c r="F48" s="98"/>
      <c r="G48" s="98" t="str">
        <f>IFERROR(INDEX(MASTER!L:L,MATCH(E48,MASTER!K:K,0)),"")</f>
        <v/>
      </c>
      <c r="H48" s="104"/>
    </row>
    <row r="49" spans="1:8" ht="24.95" customHeight="1" x14ac:dyDescent="0.3">
      <c r="A49" s="95">
        <v>48</v>
      </c>
      <c r="B49" s="98"/>
      <c r="C49" s="101"/>
      <c r="D49" s="98"/>
      <c r="E49" s="101"/>
      <c r="F49" s="98"/>
      <c r="G49" s="98" t="str">
        <f>IFERROR(INDEX(MASTER!L:L,MATCH(E49,MASTER!K:K,0)),"")</f>
        <v/>
      </c>
      <c r="H49" s="104"/>
    </row>
    <row r="50" spans="1:8" ht="24.95" customHeight="1" x14ac:dyDescent="0.3">
      <c r="A50" s="95">
        <v>49</v>
      </c>
      <c r="B50" s="98"/>
      <c r="C50" s="101"/>
      <c r="D50" s="98"/>
      <c r="E50" s="101"/>
      <c r="F50" s="98"/>
      <c r="G50" s="98" t="str">
        <f>IFERROR(INDEX(MASTER!L:L,MATCH(E50,MASTER!K:K,0)),"")</f>
        <v/>
      </c>
      <c r="H50" s="104"/>
    </row>
    <row r="51" spans="1:8" ht="24.95" customHeight="1" x14ac:dyDescent="0.3">
      <c r="A51" s="95">
        <v>50</v>
      </c>
      <c r="B51" s="98"/>
      <c r="C51" s="101"/>
      <c r="D51" s="98"/>
      <c r="E51" s="101"/>
      <c r="F51" s="98"/>
      <c r="G51" s="98" t="str">
        <f>IFERROR(INDEX(MASTER!L:L,MATCH(E51,MASTER!K:K,0)),"")</f>
        <v/>
      </c>
      <c r="H51" s="104"/>
    </row>
    <row r="52" spans="1:8" ht="24.95" customHeight="1" x14ac:dyDescent="0.3">
      <c r="A52" s="95">
        <v>51</v>
      </c>
      <c r="B52" s="98"/>
      <c r="C52" s="101"/>
      <c r="D52" s="98"/>
      <c r="E52" s="101"/>
      <c r="F52" s="98"/>
      <c r="G52" s="98" t="str">
        <f>IFERROR(INDEX(MASTER!L:L,MATCH(E52,MASTER!K:K,0)),"")</f>
        <v/>
      </c>
      <c r="H52" s="104"/>
    </row>
    <row r="53" spans="1:8" ht="24.95" customHeight="1" x14ac:dyDescent="0.3">
      <c r="A53" s="95">
        <v>52</v>
      </c>
      <c r="B53" s="98"/>
      <c r="C53" s="101"/>
      <c r="D53" s="98"/>
      <c r="E53" s="101"/>
      <c r="F53" s="98"/>
      <c r="G53" s="98" t="str">
        <f>IFERROR(INDEX(MASTER!L:L,MATCH(E53,MASTER!K:K,0)),"")</f>
        <v/>
      </c>
      <c r="H53" s="104"/>
    </row>
    <row r="54" spans="1:8" ht="24.95" customHeight="1" x14ac:dyDescent="0.3">
      <c r="A54" s="95">
        <v>53</v>
      </c>
      <c r="B54" s="98"/>
      <c r="C54" s="101"/>
      <c r="D54" s="98"/>
      <c r="E54" s="101"/>
      <c r="F54" s="98"/>
      <c r="G54" s="98" t="str">
        <f>IFERROR(INDEX(MASTER!L:L,MATCH(E54,MASTER!K:K,0)),"")</f>
        <v/>
      </c>
      <c r="H54" s="104"/>
    </row>
    <row r="55" spans="1:8" ht="24.95" customHeight="1" x14ac:dyDescent="0.3">
      <c r="A55" s="95">
        <v>54</v>
      </c>
      <c r="B55" s="98"/>
      <c r="C55" s="101"/>
      <c r="D55" s="98"/>
      <c r="E55" s="101"/>
      <c r="F55" s="98"/>
      <c r="G55" s="98" t="str">
        <f>IFERROR(INDEX(MASTER!L:L,MATCH(E55,MASTER!K:K,0)),"")</f>
        <v/>
      </c>
      <c r="H55" s="104"/>
    </row>
    <row r="56" spans="1:8" ht="24.95" customHeight="1" x14ac:dyDescent="0.3">
      <c r="A56" s="95">
        <v>55</v>
      </c>
      <c r="B56" s="98"/>
      <c r="C56" s="101"/>
      <c r="D56" s="98"/>
      <c r="E56" s="101"/>
      <c r="F56" s="98"/>
      <c r="G56" s="98" t="str">
        <f>IFERROR(INDEX(MASTER!L:L,MATCH(E56,MASTER!K:K,0)),"")</f>
        <v/>
      </c>
      <c r="H56" s="104"/>
    </row>
    <row r="57" spans="1:8" ht="24.95" customHeight="1" x14ac:dyDescent="0.3">
      <c r="A57" s="95">
        <v>56</v>
      </c>
      <c r="B57" s="98"/>
      <c r="C57" s="101"/>
      <c r="D57" s="98"/>
      <c r="E57" s="101"/>
      <c r="F57" s="98"/>
      <c r="G57" s="98" t="str">
        <f>IFERROR(INDEX(MASTER!L:L,MATCH(E57,MASTER!K:K,0)),"")</f>
        <v/>
      </c>
      <c r="H57" s="104"/>
    </row>
    <row r="58" spans="1:8" ht="24.95" customHeight="1" x14ac:dyDescent="0.3">
      <c r="A58" s="95">
        <v>57</v>
      </c>
      <c r="B58" s="98"/>
      <c r="C58" s="101"/>
      <c r="D58" s="98"/>
      <c r="E58" s="101"/>
      <c r="F58" s="98"/>
      <c r="G58" s="98" t="str">
        <f>IFERROR(INDEX(MASTER!L:L,MATCH(E58,MASTER!K:K,0)),"")</f>
        <v/>
      </c>
      <c r="H58" s="104"/>
    </row>
    <row r="59" spans="1:8" ht="24.95" customHeight="1" x14ac:dyDescent="0.3">
      <c r="A59" s="95">
        <v>58</v>
      </c>
      <c r="B59" s="98"/>
      <c r="C59" s="101"/>
      <c r="D59" s="98"/>
      <c r="E59" s="101"/>
      <c r="F59" s="98"/>
      <c r="G59" s="98" t="str">
        <f>IFERROR(INDEX(MASTER!L:L,MATCH(E59,MASTER!K:K,0)),"")</f>
        <v/>
      </c>
      <c r="H59" s="104"/>
    </row>
    <row r="60" spans="1:8" ht="24.95" customHeight="1" x14ac:dyDescent="0.3">
      <c r="A60" s="95">
        <v>59</v>
      </c>
      <c r="B60" s="98"/>
      <c r="C60" s="101"/>
      <c r="D60" s="98"/>
      <c r="E60" s="101"/>
      <c r="F60" s="98"/>
      <c r="G60" s="98" t="str">
        <f>IFERROR(INDEX(MASTER!L:L,MATCH(E60,MASTER!K:K,0)),"")</f>
        <v/>
      </c>
      <c r="H60" s="104"/>
    </row>
    <row r="61" spans="1:8" ht="24.95" customHeight="1" x14ac:dyDescent="0.3">
      <c r="A61" s="95">
        <v>60</v>
      </c>
      <c r="B61" s="98"/>
      <c r="C61" s="101"/>
      <c r="D61" s="98"/>
      <c r="E61" s="101"/>
      <c r="F61" s="98"/>
      <c r="G61" s="98" t="str">
        <f>IFERROR(INDEX(MASTER!L:L,MATCH(E61,MASTER!K:K,0)),"")</f>
        <v/>
      </c>
      <c r="H61" s="104"/>
    </row>
    <row r="62" spans="1:8" ht="24.95" customHeight="1" x14ac:dyDescent="0.3">
      <c r="A62" s="95">
        <v>61</v>
      </c>
      <c r="B62" s="98"/>
      <c r="C62" s="101"/>
      <c r="D62" s="98"/>
      <c r="E62" s="101"/>
      <c r="F62" s="98"/>
      <c r="G62" s="98" t="str">
        <f>IFERROR(INDEX(MASTER!L:L,MATCH(E62,MASTER!K:K,0)),"")</f>
        <v/>
      </c>
      <c r="H62" s="104"/>
    </row>
    <row r="63" spans="1:8" ht="24.95" customHeight="1" x14ac:dyDescent="0.3">
      <c r="A63" s="95">
        <v>62</v>
      </c>
      <c r="B63" s="98"/>
      <c r="C63" s="101"/>
      <c r="D63" s="98"/>
      <c r="E63" s="101"/>
      <c r="F63" s="98"/>
      <c r="G63" s="98" t="str">
        <f>IFERROR(INDEX(MASTER!L:L,MATCH(E63,MASTER!K:K,0)),"")</f>
        <v/>
      </c>
      <c r="H63" s="104"/>
    </row>
    <row r="64" spans="1:8" ht="24.95" customHeight="1" x14ac:dyDescent="0.3">
      <c r="A64" s="95">
        <v>63</v>
      </c>
      <c r="B64" s="98"/>
      <c r="C64" s="101"/>
      <c r="D64" s="98"/>
      <c r="E64" s="101"/>
      <c r="F64" s="98"/>
      <c r="G64" s="98" t="str">
        <f>IFERROR(INDEX(MASTER!L:L,MATCH(E64,MASTER!K:K,0)),"")</f>
        <v/>
      </c>
      <c r="H64" s="104"/>
    </row>
    <row r="65" spans="1:8" ht="24.95" customHeight="1" x14ac:dyDescent="0.3">
      <c r="A65" s="95">
        <v>64</v>
      </c>
      <c r="B65" s="98"/>
      <c r="C65" s="101"/>
      <c r="D65" s="98"/>
      <c r="E65" s="101"/>
      <c r="F65" s="98"/>
      <c r="G65" s="98" t="str">
        <f>IFERROR(INDEX(MASTER!L:L,MATCH(E65,MASTER!K:K,0)),"")</f>
        <v/>
      </c>
      <c r="H65" s="104"/>
    </row>
    <row r="66" spans="1:8" ht="24.95" customHeight="1" x14ac:dyDescent="0.3">
      <c r="A66" s="95">
        <v>65</v>
      </c>
      <c r="B66" s="98"/>
      <c r="C66" s="101"/>
      <c r="D66" s="98"/>
      <c r="E66" s="101"/>
      <c r="F66" s="98"/>
      <c r="G66" s="98" t="str">
        <f>IFERROR(INDEX(MASTER!L:L,MATCH(E66,MASTER!K:K,0)),"")</f>
        <v/>
      </c>
      <c r="H66" s="104"/>
    </row>
    <row r="67" spans="1:8" ht="24.95" customHeight="1" x14ac:dyDescent="0.3">
      <c r="A67" s="95">
        <v>66</v>
      </c>
      <c r="B67" s="98"/>
      <c r="C67" s="101"/>
      <c r="D67" s="98"/>
      <c r="E67" s="101"/>
      <c r="F67" s="98"/>
      <c r="G67" s="98" t="str">
        <f>IFERROR(INDEX(MASTER!L:L,MATCH(E67,MASTER!K:K,0)),"")</f>
        <v/>
      </c>
      <c r="H67" s="104"/>
    </row>
    <row r="68" spans="1:8" ht="24.95" customHeight="1" x14ac:dyDescent="0.3">
      <c r="A68" s="95">
        <v>67</v>
      </c>
      <c r="B68" s="98"/>
      <c r="C68" s="101"/>
      <c r="D68" s="98"/>
      <c r="E68" s="101"/>
      <c r="F68" s="98"/>
      <c r="G68" s="98" t="str">
        <f>IFERROR(INDEX(MASTER!L:L,MATCH(E68,MASTER!K:K,0)),"")</f>
        <v/>
      </c>
      <c r="H68" s="104"/>
    </row>
    <row r="69" spans="1:8" ht="24.95" customHeight="1" x14ac:dyDescent="0.3">
      <c r="A69" s="95">
        <v>68</v>
      </c>
      <c r="B69" s="98"/>
      <c r="C69" s="101"/>
      <c r="D69" s="98"/>
      <c r="E69" s="101"/>
      <c r="F69" s="98"/>
      <c r="G69" s="98" t="str">
        <f>IFERROR(INDEX(MASTER!L:L,MATCH(E69,MASTER!K:K,0)),"")</f>
        <v/>
      </c>
      <c r="H69" s="104"/>
    </row>
    <row r="70" spans="1:8" ht="24.95" customHeight="1" x14ac:dyDescent="0.3">
      <c r="A70" s="95">
        <v>69</v>
      </c>
      <c r="B70" s="98"/>
      <c r="C70" s="101"/>
      <c r="D70" s="98"/>
      <c r="E70" s="101"/>
      <c r="F70" s="98"/>
      <c r="G70" s="98" t="str">
        <f>IFERROR(INDEX(MASTER!L:L,MATCH(E70,MASTER!K:K,0)),"")</f>
        <v/>
      </c>
      <c r="H70" s="104"/>
    </row>
    <row r="71" spans="1:8" ht="24.95" customHeight="1" x14ac:dyDescent="0.3">
      <c r="A71" s="95">
        <v>70</v>
      </c>
      <c r="B71" s="98"/>
      <c r="C71" s="101"/>
      <c r="D71" s="98"/>
      <c r="E71" s="101"/>
      <c r="F71" s="98"/>
      <c r="G71" s="98" t="str">
        <f>IFERROR(INDEX(MASTER!L:L,MATCH(E71,MASTER!K:K,0)),"")</f>
        <v/>
      </c>
      <c r="H71" s="104"/>
    </row>
    <row r="72" spans="1:8" ht="24.95" customHeight="1" x14ac:dyDescent="0.3">
      <c r="A72" s="95">
        <v>71</v>
      </c>
      <c r="B72" s="98"/>
      <c r="C72" s="101"/>
      <c r="D72" s="98"/>
      <c r="E72" s="101"/>
      <c r="F72" s="98"/>
      <c r="G72" s="98" t="str">
        <f>IFERROR(INDEX(MASTER!L:L,MATCH(E72,MASTER!K:K,0)),"")</f>
        <v/>
      </c>
      <c r="H72" s="104"/>
    </row>
    <row r="73" spans="1:8" ht="24.95" customHeight="1" x14ac:dyDescent="0.3">
      <c r="A73" s="95">
        <v>72</v>
      </c>
      <c r="B73" s="98"/>
      <c r="C73" s="101"/>
      <c r="D73" s="98"/>
      <c r="E73" s="101"/>
      <c r="F73" s="98"/>
      <c r="G73" s="98" t="str">
        <f>IFERROR(INDEX(MASTER!L:L,MATCH(E73,MASTER!K:K,0)),"")</f>
        <v/>
      </c>
      <c r="H73" s="104"/>
    </row>
    <row r="74" spans="1:8" ht="24.95" customHeight="1" x14ac:dyDescent="0.3">
      <c r="A74" s="95">
        <v>73</v>
      </c>
      <c r="B74" s="98"/>
      <c r="C74" s="101"/>
      <c r="D74" s="98"/>
      <c r="E74" s="101"/>
      <c r="F74" s="98"/>
      <c r="G74" s="98" t="str">
        <f>IFERROR(INDEX(MASTER!L:L,MATCH(E74,MASTER!K:K,0)),"")</f>
        <v/>
      </c>
      <c r="H74" s="104"/>
    </row>
    <row r="75" spans="1:8" ht="24.95" customHeight="1" x14ac:dyDescent="0.3">
      <c r="A75" s="95">
        <v>74</v>
      </c>
      <c r="B75" s="98"/>
      <c r="C75" s="101"/>
      <c r="D75" s="98"/>
      <c r="E75" s="101"/>
      <c r="F75" s="98"/>
      <c r="G75" s="98" t="str">
        <f>IFERROR(INDEX(MASTER!L:L,MATCH(E75,MASTER!K:K,0)),"")</f>
        <v/>
      </c>
      <c r="H75" s="104"/>
    </row>
    <row r="76" spans="1:8" ht="24.95" customHeight="1" x14ac:dyDescent="0.3">
      <c r="A76" s="95">
        <v>75</v>
      </c>
      <c r="B76" s="98"/>
      <c r="C76" s="101"/>
      <c r="D76" s="98"/>
      <c r="E76" s="101"/>
      <c r="F76" s="98"/>
      <c r="G76" s="98" t="str">
        <f>IFERROR(INDEX(MASTER!L:L,MATCH(E76,MASTER!K:K,0)),"")</f>
        <v/>
      </c>
      <c r="H76" s="104"/>
    </row>
    <row r="77" spans="1:8" ht="24.95" customHeight="1" x14ac:dyDescent="0.3">
      <c r="A77" s="95">
        <v>76</v>
      </c>
      <c r="B77" s="98"/>
      <c r="C77" s="101"/>
      <c r="D77" s="98"/>
      <c r="E77" s="101"/>
      <c r="F77" s="98"/>
      <c r="G77" s="98" t="str">
        <f>IFERROR(INDEX(MASTER!L:L,MATCH(E77,MASTER!K:K,0)),"")</f>
        <v/>
      </c>
      <c r="H77" s="104"/>
    </row>
    <row r="78" spans="1:8" ht="24.95" customHeight="1" x14ac:dyDescent="0.3">
      <c r="A78" s="95">
        <v>77</v>
      </c>
      <c r="B78" s="98"/>
      <c r="C78" s="101"/>
      <c r="D78" s="98"/>
      <c r="E78" s="101"/>
      <c r="F78" s="98"/>
      <c r="G78" s="98" t="str">
        <f>IFERROR(INDEX(MASTER!L:L,MATCH(E78,MASTER!K:K,0)),"")</f>
        <v/>
      </c>
      <c r="H78" s="104"/>
    </row>
    <row r="79" spans="1:8" ht="24.95" customHeight="1" x14ac:dyDescent="0.3">
      <c r="A79" s="95">
        <v>78</v>
      </c>
      <c r="B79" s="98"/>
      <c r="C79" s="101"/>
      <c r="D79" s="98"/>
      <c r="E79" s="101"/>
      <c r="F79" s="98"/>
      <c r="G79" s="98" t="str">
        <f>IFERROR(INDEX(MASTER!L:L,MATCH(E79,MASTER!K:K,0)),"")</f>
        <v/>
      </c>
      <c r="H79" s="104"/>
    </row>
    <row r="80" spans="1:8" ht="24.95" customHeight="1" x14ac:dyDescent="0.3">
      <c r="A80" s="95">
        <v>79</v>
      </c>
      <c r="B80" s="98"/>
      <c r="C80" s="101"/>
      <c r="D80" s="98"/>
      <c r="E80" s="101"/>
      <c r="F80" s="98"/>
      <c r="G80" s="98" t="str">
        <f>IFERROR(INDEX(MASTER!L:L,MATCH(E80,MASTER!K:K,0)),"")</f>
        <v/>
      </c>
      <c r="H80" s="104"/>
    </row>
    <row r="81" spans="1:8" ht="24.95" customHeight="1" x14ac:dyDescent="0.3">
      <c r="A81" s="95">
        <v>80</v>
      </c>
      <c r="B81" s="98"/>
      <c r="C81" s="101"/>
      <c r="D81" s="98"/>
      <c r="E81" s="101"/>
      <c r="F81" s="98"/>
      <c r="G81" s="98" t="str">
        <f>IFERROR(INDEX(MASTER!L:L,MATCH(E81,MASTER!K:K,0)),"")</f>
        <v/>
      </c>
      <c r="H81" s="104"/>
    </row>
    <row r="82" spans="1:8" ht="24.95" customHeight="1" x14ac:dyDescent="0.3">
      <c r="A82" s="95">
        <v>81</v>
      </c>
      <c r="B82" s="98"/>
      <c r="C82" s="101"/>
      <c r="D82" s="98"/>
      <c r="E82" s="101"/>
      <c r="F82" s="98"/>
      <c r="G82" s="98" t="str">
        <f>IFERROR(INDEX(MASTER!L:L,MATCH(E82,MASTER!K:K,0)),"")</f>
        <v/>
      </c>
      <c r="H82" s="104"/>
    </row>
    <row r="83" spans="1:8" ht="24.95" customHeight="1" x14ac:dyDescent="0.3">
      <c r="A83" s="95">
        <v>82</v>
      </c>
      <c r="B83" s="98"/>
      <c r="C83" s="101"/>
      <c r="D83" s="98"/>
      <c r="E83" s="101"/>
      <c r="F83" s="98"/>
      <c r="G83" s="98" t="str">
        <f>IFERROR(INDEX(MASTER!L:L,MATCH(E83,MASTER!K:K,0)),"")</f>
        <v/>
      </c>
      <c r="H83" s="104"/>
    </row>
    <row r="84" spans="1:8" ht="24.95" customHeight="1" x14ac:dyDescent="0.3">
      <c r="A84" s="95">
        <v>83</v>
      </c>
      <c r="B84" s="98"/>
      <c r="C84" s="101"/>
      <c r="D84" s="98"/>
      <c r="E84" s="101"/>
      <c r="F84" s="98"/>
      <c r="G84" s="98" t="str">
        <f>IFERROR(INDEX(MASTER!L:L,MATCH(E84,MASTER!K:K,0)),"")</f>
        <v/>
      </c>
      <c r="H84" s="104"/>
    </row>
    <row r="85" spans="1:8" ht="24.95" customHeight="1" x14ac:dyDescent="0.3">
      <c r="A85" s="95">
        <v>84</v>
      </c>
      <c r="B85" s="98"/>
      <c r="C85" s="101"/>
      <c r="D85" s="98"/>
      <c r="E85" s="101"/>
      <c r="F85" s="98"/>
      <c r="G85" s="98" t="str">
        <f>IFERROR(INDEX(MASTER!L:L,MATCH(E85,MASTER!K:K,0)),"")</f>
        <v/>
      </c>
      <c r="H85" s="104"/>
    </row>
    <row r="86" spans="1:8" ht="24.95" customHeight="1" x14ac:dyDescent="0.3">
      <c r="A86" s="95">
        <v>85</v>
      </c>
      <c r="B86" s="98"/>
      <c r="C86" s="101"/>
      <c r="D86" s="98"/>
      <c r="E86" s="101"/>
      <c r="F86" s="98"/>
      <c r="G86" s="98" t="str">
        <f>IFERROR(INDEX(MASTER!L:L,MATCH(E86,MASTER!K:K,0)),"")</f>
        <v/>
      </c>
      <c r="H86" s="104"/>
    </row>
    <row r="87" spans="1:8" ht="24.95" customHeight="1" x14ac:dyDescent="0.3">
      <c r="A87" s="95">
        <v>86</v>
      </c>
      <c r="B87" s="98"/>
      <c r="C87" s="101"/>
      <c r="D87" s="98"/>
      <c r="E87" s="101"/>
      <c r="F87" s="98"/>
      <c r="G87" s="98" t="str">
        <f>IFERROR(INDEX(MASTER!L:L,MATCH(E87,MASTER!K:K,0)),"")</f>
        <v/>
      </c>
      <c r="H87" s="104"/>
    </row>
    <row r="88" spans="1:8" ht="24.95" customHeight="1" x14ac:dyDescent="0.3">
      <c r="A88" s="95">
        <v>87</v>
      </c>
      <c r="B88" s="98"/>
      <c r="C88" s="101"/>
      <c r="D88" s="98"/>
      <c r="E88" s="101"/>
      <c r="F88" s="98"/>
      <c r="G88" s="98" t="str">
        <f>IFERROR(INDEX(MASTER!L:L,MATCH(E88,MASTER!K:K,0)),"")</f>
        <v/>
      </c>
      <c r="H88" s="104"/>
    </row>
    <row r="89" spans="1:8" ht="24.95" customHeight="1" x14ac:dyDescent="0.3">
      <c r="A89" s="95">
        <v>88</v>
      </c>
      <c r="B89" s="98"/>
      <c r="C89" s="101"/>
      <c r="D89" s="98"/>
      <c r="E89" s="101"/>
      <c r="F89" s="98"/>
      <c r="G89" s="98" t="str">
        <f>IFERROR(INDEX(MASTER!L:L,MATCH(E89,MASTER!K:K,0)),"")</f>
        <v/>
      </c>
      <c r="H89" s="104"/>
    </row>
    <row r="90" spans="1:8" ht="24.95" customHeight="1" x14ac:dyDescent="0.3">
      <c r="A90" s="95">
        <v>89</v>
      </c>
      <c r="B90" s="98"/>
      <c r="C90" s="101"/>
      <c r="D90" s="98"/>
      <c r="E90" s="101"/>
      <c r="F90" s="98"/>
      <c r="G90" s="98" t="str">
        <f>IFERROR(INDEX(MASTER!L:L,MATCH(E90,MASTER!K:K,0)),"")</f>
        <v/>
      </c>
      <c r="H90" s="104"/>
    </row>
    <row r="91" spans="1:8" ht="24.95" customHeight="1" x14ac:dyDescent="0.3">
      <c r="A91" s="95">
        <v>90</v>
      </c>
      <c r="B91" s="98"/>
      <c r="C91" s="101"/>
      <c r="D91" s="98"/>
      <c r="E91" s="101"/>
      <c r="F91" s="98"/>
      <c r="G91" s="98" t="str">
        <f>IFERROR(INDEX(MASTER!L:L,MATCH(E91,MASTER!K:K,0)),"")</f>
        <v/>
      </c>
      <c r="H91" s="104"/>
    </row>
    <row r="92" spans="1:8" ht="24.95" customHeight="1" x14ac:dyDescent="0.3">
      <c r="A92" s="95">
        <v>91</v>
      </c>
      <c r="B92" s="98"/>
      <c r="C92" s="101"/>
      <c r="D92" s="98"/>
      <c r="E92" s="101"/>
      <c r="F92" s="98"/>
      <c r="G92" s="98" t="str">
        <f>IFERROR(INDEX(MASTER!L:L,MATCH(E92,MASTER!K:K,0)),"")</f>
        <v/>
      </c>
      <c r="H92" s="104"/>
    </row>
    <row r="93" spans="1:8" ht="24.95" customHeight="1" x14ac:dyDescent="0.3">
      <c r="A93" s="95">
        <v>92</v>
      </c>
      <c r="B93" s="98"/>
      <c r="C93" s="101"/>
      <c r="D93" s="98"/>
      <c r="E93" s="101"/>
      <c r="F93" s="98"/>
      <c r="G93" s="98" t="str">
        <f>IFERROR(INDEX(MASTER!L:L,MATCH(E93,MASTER!K:K,0)),"")</f>
        <v/>
      </c>
      <c r="H93" s="104"/>
    </row>
    <row r="94" spans="1:8" ht="24.95" customHeight="1" x14ac:dyDescent="0.3">
      <c r="A94" s="95">
        <v>93</v>
      </c>
      <c r="B94" s="98"/>
      <c r="C94" s="101"/>
      <c r="D94" s="98"/>
      <c r="E94" s="101"/>
      <c r="F94" s="98"/>
      <c r="G94" s="98" t="str">
        <f>IFERROR(INDEX(MASTER!L:L,MATCH(E94,MASTER!K:K,0)),"")</f>
        <v/>
      </c>
      <c r="H94" s="104"/>
    </row>
    <row r="95" spans="1:8" ht="24.95" customHeight="1" x14ac:dyDescent="0.3">
      <c r="A95" s="95">
        <v>94</v>
      </c>
      <c r="B95" s="98"/>
      <c r="C95" s="101"/>
      <c r="D95" s="98"/>
      <c r="E95" s="101"/>
      <c r="F95" s="98"/>
      <c r="G95" s="98" t="str">
        <f>IFERROR(INDEX(MASTER!L:L,MATCH(E95,MASTER!K:K,0)),"")</f>
        <v/>
      </c>
      <c r="H95" s="104"/>
    </row>
    <row r="96" spans="1:8" ht="24.95" customHeight="1" x14ac:dyDescent="0.3">
      <c r="A96" s="95">
        <v>95</v>
      </c>
      <c r="B96" s="98"/>
      <c r="C96" s="101"/>
      <c r="D96" s="98"/>
      <c r="E96" s="101"/>
      <c r="F96" s="98"/>
      <c r="G96" s="98" t="str">
        <f>IFERROR(INDEX(MASTER!L:L,MATCH(E96,MASTER!K:K,0)),"")</f>
        <v/>
      </c>
      <c r="H96" s="104"/>
    </row>
    <row r="97" spans="1:8" ht="24.95" customHeight="1" x14ac:dyDescent="0.3">
      <c r="A97" s="95">
        <v>96</v>
      </c>
      <c r="B97" s="98"/>
      <c r="C97" s="101"/>
      <c r="D97" s="98"/>
      <c r="E97" s="101"/>
      <c r="F97" s="98"/>
      <c r="G97" s="98" t="str">
        <f>IFERROR(INDEX(MASTER!L:L,MATCH(E97,MASTER!K:K,0)),"")</f>
        <v/>
      </c>
      <c r="H97" s="104"/>
    </row>
    <row r="98" spans="1:8" ht="24.95" customHeight="1" x14ac:dyDescent="0.3">
      <c r="A98" s="95">
        <v>97</v>
      </c>
      <c r="B98" s="98"/>
      <c r="C98" s="101"/>
      <c r="D98" s="98"/>
      <c r="E98" s="101"/>
      <c r="F98" s="98"/>
      <c r="G98" s="98" t="str">
        <f>IFERROR(INDEX(MASTER!L:L,MATCH(E98,MASTER!K:K,0)),"")</f>
        <v/>
      </c>
      <c r="H98" s="104"/>
    </row>
    <row r="99" spans="1:8" ht="24.95" customHeight="1" x14ac:dyDescent="0.3">
      <c r="A99" s="95">
        <v>98</v>
      </c>
      <c r="B99" s="98"/>
      <c r="C99" s="101"/>
      <c r="D99" s="98"/>
      <c r="E99" s="101"/>
      <c r="F99" s="98"/>
      <c r="G99" s="98" t="str">
        <f>IFERROR(INDEX(MASTER!L:L,MATCH(E99,MASTER!K:K,0)),"")</f>
        <v/>
      </c>
      <c r="H99" s="104"/>
    </row>
    <row r="100" spans="1:8" ht="24.95" customHeight="1" x14ac:dyDescent="0.3">
      <c r="A100" s="95">
        <v>99</v>
      </c>
      <c r="B100" s="98"/>
      <c r="C100" s="101"/>
      <c r="D100" s="98"/>
      <c r="E100" s="101"/>
      <c r="F100" s="98"/>
      <c r="G100" s="98" t="str">
        <f>IFERROR(INDEX(MASTER!L:L,MATCH(E100,MASTER!K:K,0)),"")</f>
        <v/>
      </c>
      <c r="H100" s="104"/>
    </row>
    <row r="101" spans="1:8" ht="24.95" customHeight="1" x14ac:dyDescent="0.3">
      <c r="A101" s="95">
        <v>100</v>
      </c>
      <c r="B101" s="98"/>
      <c r="C101" s="101"/>
      <c r="D101" s="98"/>
      <c r="E101" s="101"/>
      <c r="F101" s="98"/>
      <c r="G101" s="98" t="str">
        <f>IFERROR(INDEX(MASTER!L:L,MATCH(E101,MASTER!K:K,0)),"")</f>
        <v/>
      </c>
      <c r="H101" s="104"/>
    </row>
    <row r="102" spans="1:8" ht="24.95" customHeight="1" x14ac:dyDescent="0.3">
      <c r="A102" s="95">
        <v>101</v>
      </c>
      <c r="B102" s="98"/>
      <c r="C102" s="101"/>
      <c r="D102" s="98"/>
      <c r="E102" s="101"/>
      <c r="F102" s="98"/>
      <c r="G102" s="98" t="str">
        <f>IFERROR(INDEX(MASTER!L:L,MATCH(E102,MASTER!K:K,0)),"")</f>
        <v/>
      </c>
      <c r="H102" s="104"/>
    </row>
    <row r="103" spans="1:8" ht="24.95" customHeight="1" x14ac:dyDescent="0.3">
      <c r="A103" s="95">
        <v>102</v>
      </c>
      <c r="B103" s="98"/>
      <c r="C103" s="101"/>
      <c r="D103" s="98"/>
      <c r="E103" s="101"/>
      <c r="F103" s="98"/>
      <c r="G103" s="98" t="str">
        <f>IFERROR(INDEX(MASTER!L:L,MATCH(E103,MASTER!K:K,0)),"")</f>
        <v/>
      </c>
      <c r="H103" s="104"/>
    </row>
    <row r="104" spans="1:8" ht="24.95" customHeight="1" x14ac:dyDescent="0.3">
      <c r="A104" s="95">
        <v>103</v>
      </c>
      <c r="B104" s="98"/>
      <c r="C104" s="101"/>
      <c r="D104" s="98"/>
      <c r="E104" s="101"/>
      <c r="F104" s="98"/>
      <c r="G104" s="98" t="str">
        <f>IFERROR(INDEX(MASTER!L:L,MATCH(E104,MASTER!K:K,0)),"")</f>
        <v/>
      </c>
      <c r="H104" s="104"/>
    </row>
    <row r="105" spans="1:8" ht="24.95" customHeight="1" x14ac:dyDescent="0.3">
      <c r="A105" s="95">
        <v>104</v>
      </c>
      <c r="B105" s="98"/>
      <c r="C105" s="101"/>
      <c r="D105" s="98"/>
      <c r="E105" s="101"/>
      <c r="F105" s="98"/>
      <c r="G105" s="98" t="str">
        <f>IFERROR(INDEX(MASTER!L:L,MATCH(E105,MASTER!K:K,0)),"")</f>
        <v/>
      </c>
      <c r="H105" s="104"/>
    </row>
    <row r="106" spans="1:8" ht="24.95" customHeight="1" x14ac:dyDescent="0.3">
      <c r="A106" s="95">
        <v>105</v>
      </c>
      <c r="B106" s="98"/>
      <c r="C106" s="101"/>
      <c r="D106" s="98"/>
      <c r="E106" s="101"/>
      <c r="F106" s="98"/>
      <c r="G106" s="98" t="str">
        <f>IFERROR(INDEX(MASTER!L:L,MATCH(E106,MASTER!K:K,0)),"")</f>
        <v/>
      </c>
      <c r="H106" s="104"/>
    </row>
    <row r="107" spans="1:8" ht="24.95" customHeight="1" x14ac:dyDescent="0.3">
      <c r="A107" s="95">
        <v>106</v>
      </c>
      <c r="B107" s="98"/>
      <c r="C107" s="101"/>
      <c r="D107" s="98"/>
      <c r="E107" s="101"/>
      <c r="F107" s="98"/>
      <c r="G107" s="98" t="str">
        <f>IFERROR(INDEX(MASTER!L:L,MATCH(E107,MASTER!K:K,0)),"")</f>
        <v/>
      </c>
      <c r="H107" s="104"/>
    </row>
    <row r="108" spans="1:8" ht="24.95" customHeight="1" x14ac:dyDescent="0.3">
      <c r="A108" s="95">
        <v>107</v>
      </c>
      <c r="B108" s="98"/>
      <c r="C108" s="101"/>
      <c r="D108" s="98"/>
      <c r="E108" s="101"/>
      <c r="F108" s="98"/>
      <c r="G108" s="98" t="str">
        <f>IFERROR(INDEX(MASTER!L:L,MATCH(E108,MASTER!K:K,0)),"")</f>
        <v/>
      </c>
      <c r="H108" s="104"/>
    </row>
    <row r="109" spans="1:8" ht="24.95" customHeight="1" x14ac:dyDescent="0.3">
      <c r="A109" s="95">
        <v>108</v>
      </c>
      <c r="B109" s="98"/>
      <c r="C109" s="101"/>
      <c r="D109" s="98"/>
      <c r="E109" s="101"/>
      <c r="F109" s="98"/>
      <c r="G109" s="98" t="str">
        <f>IFERROR(INDEX(MASTER!L:L,MATCH(E109,MASTER!K:K,0)),"")</f>
        <v/>
      </c>
      <c r="H109" s="104"/>
    </row>
    <row r="110" spans="1:8" ht="24.95" customHeight="1" x14ac:dyDescent="0.3">
      <c r="A110" s="95">
        <v>109</v>
      </c>
      <c r="B110" s="98"/>
      <c r="C110" s="101"/>
      <c r="D110" s="98"/>
      <c r="E110" s="101"/>
      <c r="F110" s="98"/>
      <c r="G110" s="98" t="str">
        <f>IFERROR(INDEX(MASTER!L:L,MATCH(E110,MASTER!K:K,0)),"")</f>
        <v/>
      </c>
      <c r="H110" s="104"/>
    </row>
    <row r="111" spans="1:8" ht="24.95" customHeight="1" x14ac:dyDescent="0.3">
      <c r="A111" s="95">
        <v>110</v>
      </c>
      <c r="B111" s="98"/>
      <c r="C111" s="101"/>
      <c r="D111" s="98"/>
      <c r="E111" s="101"/>
      <c r="F111" s="98"/>
      <c r="G111" s="98" t="str">
        <f>IFERROR(INDEX(MASTER!L:L,MATCH(E111,MASTER!K:K,0)),"")</f>
        <v/>
      </c>
      <c r="H111" s="104"/>
    </row>
    <row r="112" spans="1:8" ht="24.95" customHeight="1" x14ac:dyDescent="0.3">
      <c r="A112" s="95">
        <v>111</v>
      </c>
      <c r="B112" s="98"/>
      <c r="C112" s="101"/>
      <c r="D112" s="98"/>
      <c r="E112" s="101"/>
      <c r="F112" s="98"/>
      <c r="G112" s="98" t="str">
        <f>IFERROR(INDEX(MASTER!L:L,MATCH(E112,MASTER!K:K,0)),"")</f>
        <v/>
      </c>
      <c r="H112" s="104"/>
    </row>
    <row r="113" spans="1:8" ht="24.95" customHeight="1" x14ac:dyDescent="0.3">
      <c r="A113" s="95">
        <v>112</v>
      </c>
      <c r="B113" s="98"/>
      <c r="C113" s="101"/>
      <c r="D113" s="98"/>
      <c r="E113" s="101"/>
      <c r="F113" s="98"/>
      <c r="G113" s="98" t="str">
        <f>IFERROR(INDEX(MASTER!L:L,MATCH(E113,MASTER!K:K,0)),"")</f>
        <v/>
      </c>
      <c r="H113" s="104"/>
    </row>
    <row r="114" spans="1:8" ht="24.95" customHeight="1" x14ac:dyDescent="0.3">
      <c r="A114" s="95">
        <v>113</v>
      </c>
      <c r="B114" s="98"/>
      <c r="C114" s="101"/>
      <c r="D114" s="98"/>
      <c r="E114" s="101"/>
      <c r="F114" s="98"/>
      <c r="G114" s="98" t="str">
        <f>IFERROR(INDEX(MASTER!L:L,MATCH(E114,MASTER!K:K,0)),"")</f>
        <v/>
      </c>
      <c r="H114" s="104"/>
    </row>
    <row r="115" spans="1:8" ht="24.95" customHeight="1" x14ac:dyDescent="0.3">
      <c r="A115" s="95">
        <v>114</v>
      </c>
      <c r="B115" s="98"/>
      <c r="C115" s="101"/>
      <c r="D115" s="98"/>
      <c r="E115" s="101"/>
      <c r="F115" s="98"/>
      <c r="G115" s="98" t="str">
        <f>IFERROR(INDEX(MASTER!L:L,MATCH(E115,MASTER!K:K,0)),"")</f>
        <v/>
      </c>
      <c r="H115" s="104"/>
    </row>
    <row r="116" spans="1:8" ht="24.95" customHeight="1" x14ac:dyDescent="0.3">
      <c r="A116" s="95">
        <v>115</v>
      </c>
      <c r="B116" s="98"/>
      <c r="C116" s="101"/>
      <c r="D116" s="98"/>
      <c r="E116" s="101"/>
      <c r="F116" s="98"/>
      <c r="G116" s="98" t="str">
        <f>IFERROR(INDEX(MASTER!L:L,MATCH(E116,MASTER!K:K,0)),"")</f>
        <v/>
      </c>
      <c r="H116" s="104"/>
    </row>
    <row r="117" spans="1:8" ht="24.95" customHeight="1" x14ac:dyDescent="0.3">
      <c r="A117" s="95">
        <v>116</v>
      </c>
      <c r="B117" s="98"/>
      <c r="C117" s="101"/>
      <c r="D117" s="98"/>
      <c r="E117" s="101"/>
      <c r="F117" s="98"/>
      <c r="G117" s="98" t="str">
        <f>IFERROR(INDEX(MASTER!L:L,MATCH(E117,MASTER!K:K,0)),"")</f>
        <v/>
      </c>
      <c r="H117" s="104"/>
    </row>
    <row r="118" spans="1:8" ht="24.95" customHeight="1" x14ac:dyDescent="0.3">
      <c r="A118" s="95">
        <v>117</v>
      </c>
      <c r="B118" s="98"/>
      <c r="C118" s="101"/>
      <c r="D118" s="98"/>
      <c r="E118" s="101"/>
      <c r="F118" s="98"/>
      <c r="G118" s="98" t="str">
        <f>IFERROR(INDEX(MASTER!L:L,MATCH(E118,MASTER!K:K,0)),"")</f>
        <v/>
      </c>
      <c r="H118" s="104"/>
    </row>
    <row r="119" spans="1:8" ht="24.95" customHeight="1" x14ac:dyDescent="0.3">
      <c r="A119" s="95">
        <v>118</v>
      </c>
      <c r="B119" s="98"/>
      <c r="C119" s="101"/>
      <c r="D119" s="98"/>
      <c r="E119" s="101"/>
      <c r="F119" s="98"/>
      <c r="G119" s="98" t="str">
        <f>IFERROR(INDEX(MASTER!L:L,MATCH(E119,MASTER!K:K,0)),"")</f>
        <v/>
      </c>
      <c r="H119" s="104"/>
    </row>
    <row r="120" spans="1:8" ht="24.95" customHeight="1" x14ac:dyDescent="0.3">
      <c r="A120" s="95">
        <v>119</v>
      </c>
      <c r="B120" s="98"/>
      <c r="C120" s="101"/>
      <c r="D120" s="98"/>
      <c r="E120" s="101"/>
      <c r="F120" s="98"/>
      <c r="G120" s="98" t="str">
        <f>IFERROR(INDEX(MASTER!L:L,MATCH(E120,MASTER!K:K,0)),"")</f>
        <v/>
      </c>
      <c r="H120" s="104"/>
    </row>
    <row r="121" spans="1:8" ht="24.95" customHeight="1" x14ac:dyDescent="0.3">
      <c r="A121" s="95">
        <v>120</v>
      </c>
      <c r="B121" s="98"/>
      <c r="C121" s="101"/>
      <c r="D121" s="98"/>
      <c r="E121" s="101"/>
      <c r="F121" s="98"/>
      <c r="G121" s="98" t="str">
        <f>IFERROR(INDEX(MASTER!L:L,MATCH(E121,MASTER!K:K,0)),"")</f>
        <v/>
      </c>
      <c r="H121" s="104"/>
    </row>
    <row r="122" spans="1:8" ht="24.95" customHeight="1" x14ac:dyDescent="0.3">
      <c r="A122" s="95">
        <v>121</v>
      </c>
      <c r="B122" s="98"/>
      <c r="C122" s="101"/>
      <c r="D122" s="98"/>
      <c r="E122" s="101"/>
      <c r="F122" s="98"/>
      <c r="G122" s="98" t="str">
        <f>IFERROR(INDEX(MASTER!L:L,MATCH(E122,MASTER!K:K,0)),"")</f>
        <v/>
      </c>
      <c r="H122" s="104"/>
    </row>
    <row r="123" spans="1:8" ht="24.95" customHeight="1" x14ac:dyDescent="0.3">
      <c r="A123" s="95">
        <v>122</v>
      </c>
      <c r="B123" s="98"/>
      <c r="C123" s="101"/>
      <c r="D123" s="98"/>
      <c r="E123" s="101"/>
      <c r="F123" s="98"/>
      <c r="G123" s="98" t="str">
        <f>IFERROR(INDEX(MASTER!L:L,MATCH(E123,MASTER!K:K,0)),"")</f>
        <v/>
      </c>
      <c r="H123" s="104"/>
    </row>
    <row r="124" spans="1:8" ht="24.95" customHeight="1" x14ac:dyDescent="0.3">
      <c r="A124" s="95">
        <v>123</v>
      </c>
      <c r="B124" s="98"/>
      <c r="C124" s="101"/>
      <c r="D124" s="98"/>
      <c r="E124" s="101"/>
      <c r="F124" s="98"/>
      <c r="G124" s="98" t="str">
        <f>IFERROR(INDEX(MASTER!L:L,MATCH(E124,MASTER!K:K,0)),"")</f>
        <v/>
      </c>
      <c r="H124" s="104"/>
    </row>
    <row r="125" spans="1:8" ht="24.95" customHeight="1" x14ac:dyDescent="0.3">
      <c r="A125" s="95">
        <v>124</v>
      </c>
      <c r="B125" s="98"/>
      <c r="C125" s="101"/>
      <c r="D125" s="98"/>
      <c r="E125" s="101"/>
      <c r="F125" s="98"/>
      <c r="G125" s="98" t="str">
        <f>IFERROR(INDEX(MASTER!L:L,MATCH(E125,MASTER!K:K,0)),"")</f>
        <v/>
      </c>
      <c r="H125" s="104"/>
    </row>
    <row r="126" spans="1:8" ht="24.95" customHeight="1" x14ac:dyDescent="0.3">
      <c r="A126" s="95">
        <v>125</v>
      </c>
      <c r="B126" s="98"/>
      <c r="C126" s="101"/>
      <c r="D126" s="98"/>
      <c r="E126" s="101"/>
      <c r="F126" s="98"/>
      <c r="G126" s="98" t="str">
        <f>IFERROR(INDEX(MASTER!L:L,MATCH(E126,MASTER!K:K,0)),"")</f>
        <v/>
      </c>
      <c r="H126" s="104"/>
    </row>
    <row r="127" spans="1:8" ht="24.95" customHeight="1" x14ac:dyDescent="0.3">
      <c r="A127" s="95">
        <v>126</v>
      </c>
      <c r="B127" s="98"/>
      <c r="C127" s="101"/>
      <c r="D127" s="98"/>
      <c r="E127" s="101"/>
      <c r="F127" s="98"/>
      <c r="G127" s="98" t="str">
        <f>IFERROR(INDEX(MASTER!L:L,MATCH(E127,MASTER!K:K,0)),"")</f>
        <v/>
      </c>
      <c r="H127" s="104"/>
    </row>
    <row r="128" spans="1:8" ht="24.95" customHeight="1" x14ac:dyDescent="0.3">
      <c r="A128" s="95">
        <v>127</v>
      </c>
      <c r="B128" s="98"/>
      <c r="C128" s="101"/>
      <c r="D128" s="98"/>
      <c r="E128" s="101"/>
      <c r="F128" s="98"/>
      <c r="G128" s="98" t="str">
        <f>IFERROR(INDEX(MASTER!L:L,MATCH(E128,MASTER!K:K,0)),"")</f>
        <v/>
      </c>
      <c r="H128" s="104"/>
    </row>
    <row r="129" spans="1:8" ht="24.95" customHeight="1" x14ac:dyDescent="0.3">
      <c r="A129" s="95">
        <v>128</v>
      </c>
      <c r="B129" s="98"/>
      <c r="C129" s="101"/>
      <c r="D129" s="98"/>
      <c r="E129" s="101"/>
      <c r="F129" s="98"/>
      <c r="G129" s="98" t="str">
        <f>IFERROR(INDEX(MASTER!L:L,MATCH(E129,MASTER!K:K,0)),"")</f>
        <v/>
      </c>
      <c r="H129" s="104"/>
    </row>
    <row r="130" spans="1:8" ht="24.95" customHeight="1" x14ac:dyDescent="0.3">
      <c r="A130" s="95">
        <v>129</v>
      </c>
      <c r="B130" s="98"/>
      <c r="C130" s="101"/>
      <c r="D130" s="98"/>
      <c r="E130" s="101"/>
      <c r="F130" s="98"/>
      <c r="G130" s="98" t="str">
        <f>IFERROR(INDEX(MASTER!L:L,MATCH(E130,MASTER!K:K,0)),"")</f>
        <v/>
      </c>
      <c r="H130" s="104"/>
    </row>
    <row r="131" spans="1:8" ht="24.95" customHeight="1" x14ac:dyDescent="0.3">
      <c r="A131" s="95">
        <v>130</v>
      </c>
      <c r="B131" s="98"/>
      <c r="C131" s="101"/>
      <c r="D131" s="98"/>
      <c r="E131" s="101"/>
      <c r="F131" s="98"/>
      <c r="G131" s="98" t="str">
        <f>IFERROR(INDEX(MASTER!L:L,MATCH(E131,MASTER!K:K,0)),"")</f>
        <v/>
      </c>
      <c r="H131" s="104"/>
    </row>
    <row r="132" spans="1:8" ht="24.95" customHeight="1" x14ac:dyDescent="0.3">
      <c r="A132" s="95">
        <v>131</v>
      </c>
      <c r="B132" s="98"/>
      <c r="C132" s="101"/>
      <c r="D132" s="98"/>
      <c r="E132" s="101"/>
      <c r="F132" s="98"/>
      <c r="G132" s="98" t="str">
        <f>IFERROR(INDEX(MASTER!L:L,MATCH(E132,MASTER!K:K,0)),"")</f>
        <v/>
      </c>
      <c r="H132" s="104"/>
    </row>
    <row r="133" spans="1:8" ht="24.95" customHeight="1" x14ac:dyDescent="0.3">
      <c r="A133" s="95">
        <v>132</v>
      </c>
      <c r="B133" s="98"/>
      <c r="C133" s="101"/>
      <c r="D133" s="98"/>
      <c r="E133" s="101"/>
      <c r="F133" s="98"/>
      <c r="G133" s="98" t="str">
        <f>IFERROR(INDEX(MASTER!L:L,MATCH(E133,MASTER!K:K,0)),"")</f>
        <v/>
      </c>
      <c r="H133" s="104"/>
    </row>
    <row r="134" spans="1:8" ht="24.95" customHeight="1" x14ac:dyDescent="0.3">
      <c r="A134" s="95">
        <v>133</v>
      </c>
      <c r="B134" s="98"/>
      <c r="C134" s="101"/>
      <c r="D134" s="98"/>
      <c r="E134" s="101"/>
      <c r="F134" s="98"/>
      <c r="G134" s="98" t="str">
        <f>IFERROR(INDEX(MASTER!L:L,MATCH(E134,MASTER!K:K,0)),"")</f>
        <v/>
      </c>
      <c r="H134" s="104"/>
    </row>
    <row r="135" spans="1:8" ht="24.95" customHeight="1" x14ac:dyDescent="0.3">
      <c r="A135" s="95">
        <v>134</v>
      </c>
      <c r="B135" s="98"/>
      <c r="C135" s="101"/>
      <c r="D135" s="98"/>
      <c r="E135" s="101"/>
      <c r="F135" s="98"/>
      <c r="G135" s="98" t="str">
        <f>IFERROR(INDEX(MASTER!L:L,MATCH(E135,MASTER!K:K,0)),"")</f>
        <v/>
      </c>
      <c r="H135" s="104"/>
    </row>
    <row r="136" spans="1:8" ht="24.95" customHeight="1" x14ac:dyDescent="0.3">
      <c r="A136" s="95">
        <v>135</v>
      </c>
      <c r="B136" s="98"/>
      <c r="C136" s="101"/>
      <c r="D136" s="98"/>
      <c r="E136" s="101"/>
      <c r="F136" s="98"/>
      <c r="G136" s="98" t="str">
        <f>IFERROR(INDEX(MASTER!L:L,MATCH(E136,MASTER!K:K,0)),"")</f>
        <v/>
      </c>
      <c r="H136" s="104"/>
    </row>
    <row r="137" spans="1:8" ht="24.95" customHeight="1" x14ac:dyDescent="0.3">
      <c r="A137" s="95">
        <v>136</v>
      </c>
      <c r="B137" s="98"/>
      <c r="C137" s="101"/>
      <c r="D137" s="98"/>
      <c r="E137" s="101"/>
      <c r="F137" s="98"/>
      <c r="G137" s="98" t="str">
        <f>IFERROR(INDEX(MASTER!L:L,MATCH(E137,MASTER!K:K,0)),"")</f>
        <v/>
      </c>
      <c r="H137" s="104"/>
    </row>
    <row r="138" spans="1:8" ht="24.95" customHeight="1" x14ac:dyDescent="0.3">
      <c r="A138" s="95">
        <v>137</v>
      </c>
      <c r="B138" s="98"/>
      <c r="C138" s="101"/>
      <c r="D138" s="98"/>
      <c r="E138" s="101"/>
      <c r="F138" s="98"/>
      <c r="G138" s="98" t="str">
        <f>IFERROR(INDEX(MASTER!L:L,MATCH(E138,MASTER!K:K,0)),"")</f>
        <v/>
      </c>
      <c r="H138" s="104"/>
    </row>
    <row r="139" spans="1:8" ht="24.95" customHeight="1" x14ac:dyDescent="0.3">
      <c r="A139" s="95">
        <v>138</v>
      </c>
      <c r="B139" s="98"/>
      <c r="C139" s="101"/>
      <c r="D139" s="98"/>
      <c r="E139" s="101"/>
      <c r="F139" s="98"/>
      <c r="G139" s="98" t="str">
        <f>IFERROR(INDEX(MASTER!L:L,MATCH(E139,MASTER!K:K,0)),"")</f>
        <v/>
      </c>
      <c r="H139" s="104"/>
    </row>
    <row r="140" spans="1:8" ht="24.95" customHeight="1" x14ac:dyDescent="0.3">
      <c r="A140" s="95">
        <v>139</v>
      </c>
      <c r="B140" s="98"/>
      <c r="C140" s="101"/>
      <c r="D140" s="98"/>
      <c r="E140" s="101"/>
      <c r="F140" s="98"/>
      <c r="G140" s="98" t="str">
        <f>IFERROR(INDEX(MASTER!L:L,MATCH(E140,MASTER!K:K,0)),"")</f>
        <v/>
      </c>
      <c r="H140" s="104"/>
    </row>
    <row r="141" spans="1:8" ht="24.95" customHeight="1" x14ac:dyDescent="0.3">
      <c r="A141" s="95">
        <v>140</v>
      </c>
      <c r="B141" s="98"/>
      <c r="C141" s="101"/>
      <c r="D141" s="98"/>
      <c r="E141" s="101"/>
      <c r="F141" s="98"/>
      <c r="G141" s="98" t="str">
        <f>IFERROR(INDEX(MASTER!L:L,MATCH(E141,MASTER!K:K,0)),"")</f>
        <v/>
      </c>
      <c r="H141" s="104"/>
    </row>
    <row r="142" spans="1:8" ht="24.95" customHeight="1" x14ac:dyDescent="0.3">
      <c r="A142" s="95">
        <v>141</v>
      </c>
      <c r="B142" s="98"/>
      <c r="C142" s="101"/>
      <c r="D142" s="98"/>
      <c r="E142" s="101"/>
      <c r="F142" s="98"/>
      <c r="G142" s="98" t="str">
        <f>IFERROR(INDEX(MASTER!L:L,MATCH(E142,MASTER!K:K,0)),"")</f>
        <v/>
      </c>
      <c r="H142" s="104"/>
    </row>
    <row r="143" spans="1:8" ht="24.95" customHeight="1" x14ac:dyDescent="0.3">
      <c r="A143" s="95">
        <v>142</v>
      </c>
      <c r="B143" s="98"/>
      <c r="C143" s="101"/>
      <c r="D143" s="98"/>
      <c r="E143" s="101"/>
      <c r="F143" s="98"/>
      <c r="G143" s="98" t="str">
        <f>IFERROR(INDEX(MASTER!L:L,MATCH(E143,MASTER!K:K,0)),"")</f>
        <v/>
      </c>
      <c r="H143" s="104"/>
    </row>
    <row r="144" spans="1:8" ht="24.95" customHeight="1" x14ac:dyDescent="0.3">
      <c r="A144" s="95">
        <v>143</v>
      </c>
      <c r="B144" s="98"/>
      <c r="C144" s="101"/>
      <c r="D144" s="98"/>
      <c r="E144" s="101"/>
      <c r="F144" s="98"/>
      <c r="G144" s="98" t="str">
        <f>IFERROR(INDEX(MASTER!L:L,MATCH(E144,MASTER!K:K,0)),"")</f>
        <v/>
      </c>
      <c r="H144" s="104"/>
    </row>
    <row r="145" spans="1:8" ht="24.95" customHeight="1" x14ac:dyDescent="0.3">
      <c r="A145" s="95">
        <v>144</v>
      </c>
      <c r="B145" s="98"/>
      <c r="C145" s="101"/>
      <c r="D145" s="98"/>
      <c r="E145" s="101"/>
      <c r="F145" s="98"/>
      <c r="G145" s="98" t="str">
        <f>IFERROR(INDEX(MASTER!L:L,MATCH(E145,MASTER!K:K,0)),"")</f>
        <v/>
      </c>
      <c r="H145" s="104"/>
    </row>
    <row r="146" spans="1:8" ht="24.95" customHeight="1" x14ac:dyDescent="0.3">
      <c r="A146" s="95">
        <v>145</v>
      </c>
      <c r="B146" s="98"/>
      <c r="C146" s="101"/>
      <c r="D146" s="98"/>
      <c r="E146" s="101"/>
      <c r="F146" s="98"/>
      <c r="G146" s="98" t="str">
        <f>IFERROR(INDEX(MASTER!L:L,MATCH(E146,MASTER!K:K,0)),"")</f>
        <v/>
      </c>
      <c r="H146" s="104"/>
    </row>
    <row r="147" spans="1:8" ht="24.95" customHeight="1" x14ac:dyDescent="0.3">
      <c r="A147" s="95">
        <v>146</v>
      </c>
      <c r="B147" s="98"/>
      <c r="C147" s="101"/>
      <c r="D147" s="98"/>
      <c r="E147" s="101"/>
      <c r="F147" s="98"/>
      <c r="G147" s="98" t="str">
        <f>IFERROR(INDEX(MASTER!L:L,MATCH(E147,MASTER!K:K,0)),"")</f>
        <v/>
      </c>
      <c r="H147" s="104"/>
    </row>
    <row r="148" spans="1:8" ht="24.95" customHeight="1" x14ac:dyDescent="0.3">
      <c r="A148" s="95">
        <v>147</v>
      </c>
      <c r="B148" s="98"/>
      <c r="C148" s="101"/>
      <c r="D148" s="98"/>
      <c r="E148" s="101"/>
      <c r="F148" s="98"/>
      <c r="G148" s="98" t="str">
        <f>IFERROR(INDEX(MASTER!L:L,MATCH(E148,MASTER!K:K,0)),"")</f>
        <v/>
      </c>
      <c r="H148" s="104"/>
    </row>
    <row r="149" spans="1:8" ht="24.95" customHeight="1" x14ac:dyDescent="0.3">
      <c r="A149" s="95">
        <v>148</v>
      </c>
      <c r="B149" s="98"/>
      <c r="C149" s="101"/>
      <c r="D149" s="98"/>
      <c r="E149" s="101"/>
      <c r="F149" s="98"/>
      <c r="G149" s="98" t="str">
        <f>IFERROR(INDEX(MASTER!L:L,MATCH(E149,MASTER!K:K,0)),"")</f>
        <v/>
      </c>
      <c r="H149" s="104"/>
    </row>
    <row r="150" spans="1:8" ht="24.95" customHeight="1" x14ac:dyDescent="0.3">
      <c r="A150" s="95">
        <v>149</v>
      </c>
      <c r="B150" s="98"/>
      <c r="C150" s="101"/>
      <c r="D150" s="98"/>
      <c r="E150" s="101"/>
      <c r="F150" s="98"/>
      <c r="G150" s="98" t="str">
        <f>IFERROR(INDEX(MASTER!L:L,MATCH(E150,MASTER!K:K,0)),"")</f>
        <v/>
      </c>
      <c r="H150" s="104"/>
    </row>
    <row r="151" spans="1:8" ht="24.95" customHeight="1" x14ac:dyDescent="0.3">
      <c r="A151" s="95">
        <v>150</v>
      </c>
      <c r="B151" s="98"/>
      <c r="C151" s="101"/>
      <c r="D151" s="98"/>
      <c r="E151" s="101"/>
      <c r="F151" s="98"/>
      <c r="G151" s="98" t="str">
        <f>IFERROR(INDEX(MASTER!L:L,MATCH(E151,MASTER!K:K,0)),"")</f>
        <v/>
      </c>
      <c r="H151" s="104"/>
    </row>
    <row r="152" spans="1:8" ht="24.95" customHeight="1" x14ac:dyDescent="0.3">
      <c r="A152" s="95">
        <v>151</v>
      </c>
      <c r="B152" s="98"/>
      <c r="C152" s="101"/>
      <c r="D152" s="98"/>
      <c r="E152" s="101"/>
      <c r="F152" s="98"/>
      <c r="G152" s="98" t="str">
        <f>IFERROR(INDEX(MASTER!L:L,MATCH(E152,MASTER!K:K,0)),"")</f>
        <v/>
      </c>
      <c r="H152" s="104"/>
    </row>
    <row r="153" spans="1:8" ht="24.95" customHeight="1" x14ac:dyDescent="0.3">
      <c r="A153" s="95">
        <v>152</v>
      </c>
      <c r="B153" s="98"/>
      <c r="C153" s="101"/>
      <c r="D153" s="98"/>
      <c r="E153" s="101"/>
      <c r="F153" s="98"/>
      <c r="G153" s="98" t="str">
        <f>IFERROR(INDEX(MASTER!L:L,MATCH(E153,MASTER!K:K,0)),"")</f>
        <v/>
      </c>
      <c r="H153" s="104"/>
    </row>
    <row r="154" spans="1:8" ht="24.95" customHeight="1" x14ac:dyDescent="0.3">
      <c r="A154" s="95">
        <v>153</v>
      </c>
      <c r="B154" s="98"/>
      <c r="C154" s="101"/>
      <c r="D154" s="98"/>
      <c r="E154" s="101"/>
      <c r="F154" s="98"/>
      <c r="G154" s="98" t="str">
        <f>IFERROR(INDEX(MASTER!L:L,MATCH(E154,MASTER!K:K,0)),"")</f>
        <v/>
      </c>
      <c r="H154" s="104"/>
    </row>
    <row r="155" spans="1:8" ht="24.95" customHeight="1" x14ac:dyDescent="0.3">
      <c r="A155" s="95">
        <v>154</v>
      </c>
      <c r="B155" s="98"/>
      <c r="C155" s="101"/>
      <c r="D155" s="98"/>
      <c r="E155" s="101"/>
      <c r="F155" s="98"/>
      <c r="G155" s="98" t="str">
        <f>IFERROR(INDEX(MASTER!L:L,MATCH(E155,MASTER!K:K,0)),"")</f>
        <v/>
      </c>
      <c r="H155" s="104"/>
    </row>
    <row r="156" spans="1:8" ht="24.95" customHeight="1" x14ac:dyDescent="0.3">
      <c r="A156" s="95">
        <v>155</v>
      </c>
      <c r="B156" s="98"/>
      <c r="C156" s="101"/>
      <c r="D156" s="98"/>
      <c r="E156" s="101"/>
      <c r="F156" s="98"/>
      <c r="G156" s="98" t="str">
        <f>IFERROR(INDEX(MASTER!L:L,MATCH(E156,MASTER!K:K,0)),"")</f>
        <v/>
      </c>
      <c r="H156" s="104"/>
    </row>
    <row r="157" spans="1:8" ht="24.95" customHeight="1" x14ac:dyDescent="0.3">
      <c r="A157" s="95">
        <v>156</v>
      </c>
      <c r="B157" s="98"/>
      <c r="C157" s="101"/>
      <c r="D157" s="98"/>
      <c r="E157" s="101"/>
      <c r="F157" s="98"/>
      <c r="G157" s="98" t="str">
        <f>IFERROR(INDEX(MASTER!L:L,MATCH(E157,MASTER!K:K,0)),"")</f>
        <v/>
      </c>
      <c r="H157" s="104"/>
    </row>
    <row r="158" spans="1:8" ht="24.95" customHeight="1" x14ac:dyDescent="0.3">
      <c r="A158" s="95">
        <v>157</v>
      </c>
      <c r="B158" s="98"/>
      <c r="C158" s="101"/>
      <c r="D158" s="98"/>
      <c r="E158" s="101"/>
      <c r="F158" s="98"/>
      <c r="G158" s="98" t="str">
        <f>IFERROR(INDEX(MASTER!L:L,MATCH(E158,MASTER!K:K,0)),"")</f>
        <v/>
      </c>
      <c r="H158" s="104"/>
    </row>
    <row r="159" spans="1:8" ht="24.95" customHeight="1" x14ac:dyDescent="0.3">
      <c r="A159" s="95">
        <v>158</v>
      </c>
      <c r="B159" s="98"/>
      <c r="C159" s="101"/>
      <c r="D159" s="98"/>
      <c r="E159" s="101"/>
      <c r="F159" s="98"/>
      <c r="G159" s="98" t="str">
        <f>IFERROR(INDEX(MASTER!L:L,MATCH(E159,MASTER!K:K,0)),"")</f>
        <v/>
      </c>
      <c r="H159" s="104"/>
    </row>
    <row r="160" spans="1:8" ht="24.95" customHeight="1" x14ac:dyDescent="0.3">
      <c r="A160" s="95">
        <v>159</v>
      </c>
      <c r="B160" s="98"/>
      <c r="C160" s="101"/>
      <c r="D160" s="98"/>
      <c r="E160" s="101"/>
      <c r="F160" s="98"/>
      <c r="G160" s="98" t="str">
        <f>IFERROR(INDEX(MASTER!L:L,MATCH(E160,MASTER!K:K,0)),"")</f>
        <v/>
      </c>
      <c r="H160" s="104"/>
    </row>
    <row r="161" spans="1:8" ht="24.95" customHeight="1" x14ac:dyDescent="0.3">
      <c r="A161" s="95">
        <v>160</v>
      </c>
      <c r="B161" s="98"/>
      <c r="C161" s="101"/>
      <c r="D161" s="98"/>
      <c r="E161" s="101"/>
      <c r="F161" s="98"/>
      <c r="G161" s="98" t="str">
        <f>IFERROR(INDEX(MASTER!L:L,MATCH(E161,MASTER!K:K,0)),"")</f>
        <v/>
      </c>
      <c r="H161" s="104"/>
    </row>
    <row r="162" spans="1:8" ht="24.95" customHeight="1" x14ac:dyDescent="0.3">
      <c r="A162" s="95">
        <v>161</v>
      </c>
      <c r="B162" s="98"/>
      <c r="C162" s="101"/>
      <c r="D162" s="98"/>
      <c r="E162" s="101"/>
      <c r="F162" s="98"/>
      <c r="G162" s="98" t="str">
        <f>IFERROR(INDEX(MASTER!L:L,MATCH(E162,MASTER!K:K,0)),"")</f>
        <v/>
      </c>
      <c r="H162" s="104"/>
    </row>
    <row r="163" spans="1:8" ht="24.95" customHeight="1" x14ac:dyDescent="0.3">
      <c r="A163" s="95">
        <v>162</v>
      </c>
      <c r="B163" s="98"/>
      <c r="C163" s="101"/>
      <c r="D163" s="98"/>
      <c r="E163" s="101"/>
      <c r="F163" s="98"/>
      <c r="G163" s="98" t="str">
        <f>IFERROR(INDEX(MASTER!L:L,MATCH(E163,MASTER!K:K,0)),"")</f>
        <v/>
      </c>
      <c r="H163" s="104"/>
    </row>
    <row r="164" spans="1:8" ht="24.95" customHeight="1" x14ac:dyDescent="0.3">
      <c r="A164" s="95">
        <v>163</v>
      </c>
      <c r="B164" s="98"/>
      <c r="C164" s="101"/>
      <c r="D164" s="98"/>
      <c r="E164" s="101"/>
      <c r="F164" s="98"/>
      <c r="G164" s="98" t="str">
        <f>IFERROR(INDEX(MASTER!L:L,MATCH(E164,MASTER!K:K,0)),"")</f>
        <v/>
      </c>
      <c r="H164" s="104"/>
    </row>
    <row r="165" spans="1:8" ht="24.95" customHeight="1" x14ac:dyDescent="0.3">
      <c r="A165" s="95">
        <v>164</v>
      </c>
      <c r="B165" s="98"/>
      <c r="C165" s="101"/>
      <c r="D165" s="98"/>
      <c r="E165" s="101"/>
      <c r="F165" s="98"/>
      <c r="G165" s="98" t="str">
        <f>IFERROR(INDEX(MASTER!L:L,MATCH(E165,MASTER!K:K,0)),"")</f>
        <v/>
      </c>
      <c r="H165" s="104"/>
    </row>
    <row r="166" spans="1:8" ht="24.95" customHeight="1" x14ac:dyDescent="0.3">
      <c r="A166" s="95">
        <v>165</v>
      </c>
      <c r="B166" s="98"/>
      <c r="C166" s="101"/>
      <c r="D166" s="98"/>
      <c r="E166" s="101"/>
      <c r="F166" s="98"/>
      <c r="G166" s="98" t="str">
        <f>IFERROR(INDEX(MASTER!L:L,MATCH(E166,MASTER!K:K,0)),"")</f>
        <v/>
      </c>
      <c r="H166" s="104"/>
    </row>
    <row r="167" spans="1:8" ht="24.95" customHeight="1" x14ac:dyDescent="0.3">
      <c r="A167" s="95">
        <v>166</v>
      </c>
      <c r="B167" s="98"/>
      <c r="C167" s="101"/>
      <c r="D167" s="98"/>
      <c r="E167" s="101"/>
      <c r="F167" s="98"/>
      <c r="G167" s="98" t="str">
        <f>IFERROR(INDEX(MASTER!L:L,MATCH(E167,MASTER!K:K,0)),"")</f>
        <v/>
      </c>
      <c r="H167" s="104"/>
    </row>
    <row r="168" spans="1:8" ht="24.95" customHeight="1" x14ac:dyDescent="0.3">
      <c r="A168" s="95">
        <v>167</v>
      </c>
      <c r="B168" s="98"/>
      <c r="C168" s="101"/>
      <c r="D168" s="98"/>
      <c r="E168" s="101"/>
      <c r="F168" s="98"/>
      <c r="G168" s="98" t="str">
        <f>IFERROR(INDEX(MASTER!L:L,MATCH(E168,MASTER!K:K,0)),"")</f>
        <v/>
      </c>
      <c r="H168" s="104"/>
    </row>
    <row r="169" spans="1:8" ht="24.95" customHeight="1" x14ac:dyDescent="0.3">
      <c r="A169" s="95">
        <v>168</v>
      </c>
      <c r="B169" s="98"/>
      <c r="C169" s="101"/>
      <c r="D169" s="98"/>
      <c r="E169" s="101"/>
      <c r="F169" s="98"/>
      <c r="G169" s="98" t="str">
        <f>IFERROR(INDEX(MASTER!L:L,MATCH(E169,MASTER!K:K,0)),"")</f>
        <v/>
      </c>
      <c r="H169" s="104"/>
    </row>
    <row r="170" spans="1:8" ht="24.95" customHeight="1" x14ac:dyDescent="0.3">
      <c r="A170" s="95">
        <v>169</v>
      </c>
      <c r="B170" s="98"/>
      <c r="C170" s="101"/>
      <c r="D170" s="98"/>
      <c r="E170" s="101"/>
      <c r="F170" s="98"/>
      <c r="G170" s="98" t="str">
        <f>IFERROR(INDEX(MASTER!L:L,MATCH(E170,MASTER!K:K,0)),"")</f>
        <v/>
      </c>
      <c r="H170" s="104"/>
    </row>
    <row r="171" spans="1:8" ht="24.95" customHeight="1" x14ac:dyDescent="0.3">
      <c r="A171" s="95">
        <v>170</v>
      </c>
      <c r="B171" s="98"/>
      <c r="C171" s="101"/>
      <c r="D171" s="98"/>
      <c r="E171" s="101"/>
      <c r="F171" s="98"/>
      <c r="G171" s="98" t="str">
        <f>IFERROR(INDEX(MASTER!L:L,MATCH(E171,MASTER!K:K,0)),"")</f>
        <v/>
      </c>
      <c r="H171" s="104"/>
    </row>
    <row r="172" spans="1:8" ht="24.95" customHeight="1" x14ac:dyDescent="0.3">
      <c r="A172" s="95">
        <v>171</v>
      </c>
      <c r="B172" s="98"/>
      <c r="C172" s="101"/>
      <c r="D172" s="98"/>
      <c r="E172" s="101"/>
      <c r="F172" s="98"/>
      <c r="G172" s="98" t="str">
        <f>IFERROR(INDEX(MASTER!L:L,MATCH(E172,MASTER!K:K,0)),"")</f>
        <v/>
      </c>
      <c r="H172" s="104"/>
    </row>
    <row r="173" spans="1:8" ht="24.95" customHeight="1" x14ac:dyDescent="0.3">
      <c r="A173" s="95">
        <v>172</v>
      </c>
      <c r="B173" s="98"/>
      <c r="C173" s="101"/>
      <c r="D173" s="98"/>
      <c r="E173" s="101"/>
      <c r="F173" s="98"/>
      <c r="G173" s="98" t="str">
        <f>IFERROR(INDEX(MASTER!L:L,MATCH(E173,MASTER!K:K,0)),"")</f>
        <v/>
      </c>
      <c r="H173" s="104"/>
    </row>
    <row r="174" spans="1:8" ht="24.95" customHeight="1" x14ac:dyDescent="0.3">
      <c r="A174" s="95">
        <v>173</v>
      </c>
      <c r="B174" s="98"/>
      <c r="C174" s="101"/>
      <c r="D174" s="98"/>
      <c r="E174" s="101"/>
      <c r="F174" s="98"/>
      <c r="G174" s="98" t="str">
        <f>IFERROR(INDEX(MASTER!L:L,MATCH(E174,MASTER!K:K,0)),"")</f>
        <v/>
      </c>
      <c r="H174" s="104"/>
    </row>
    <row r="175" spans="1:8" ht="24.95" customHeight="1" x14ac:dyDescent="0.3">
      <c r="A175" s="95">
        <v>174</v>
      </c>
      <c r="B175" s="98"/>
      <c r="C175" s="101"/>
      <c r="D175" s="98"/>
      <c r="E175" s="101"/>
      <c r="F175" s="98"/>
      <c r="G175" s="98" t="str">
        <f>IFERROR(INDEX(MASTER!L:L,MATCH(E175,MASTER!K:K,0)),"")</f>
        <v/>
      </c>
      <c r="H175" s="104"/>
    </row>
    <row r="176" spans="1:8" ht="24.95" customHeight="1" x14ac:dyDescent="0.3">
      <c r="A176" s="95">
        <v>175</v>
      </c>
      <c r="B176" s="98"/>
      <c r="C176" s="101"/>
      <c r="D176" s="98"/>
      <c r="E176" s="101"/>
      <c r="F176" s="98"/>
      <c r="G176" s="98" t="str">
        <f>IFERROR(INDEX(MASTER!L:L,MATCH(E176,MASTER!K:K,0)),"")</f>
        <v/>
      </c>
      <c r="H176" s="104"/>
    </row>
    <row r="177" spans="1:8" ht="24.95" customHeight="1" x14ac:dyDescent="0.3">
      <c r="A177" s="95">
        <v>176</v>
      </c>
      <c r="B177" s="98"/>
      <c r="C177" s="101"/>
      <c r="D177" s="98"/>
      <c r="E177" s="101"/>
      <c r="F177" s="98"/>
      <c r="G177" s="98" t="str">
        <f>IFERROR(INDEX(MASTER!L:L,MATCH(E177,MASTER!K:K,0)),"")</f>
        <v/>
      </c>
      <c r="H177" s="104"/>
    </row>
    <row r="178" spans="1:8" ht="24.95" customHeight="1" x14ac:dyDescent="0.3">
      <c r="A178" s="95">
        <v>177</v>
      </c>
      <c r="B178" s="98"/>
      <c r="C178" s="101"/>
      <c r="D178" s="98"/>
      <c r="E178" s="101"/>
      <c r="F178" s="98"/>
      <c r="G178" s="98" t="str">
        <f>IFERROR(INDEX(MASTER!L:L,MATCH(E178,MASTER!K:K,0)),"")</f>
        <v/>
      </c>
      <c r="H178" s="104"/>
    </row>
    <row r="179" spans="1:8" ht="24.95" customHeight="1" x14ac:dyDescent="0.3">
      <c r="A179" s="95">
        <v>178</v>
      </c>
      <c r="B179" s="98"/>
      <c r="C179" s="101"/>
      <c r="D179" s="98"/>
      <c r="E179" s="101"/>
      <c r="F179" s="98"/>
      <c r="G179" s="98" t="str">
        <f>IFERROR(INDEX(MASTER!L:L,MATCH(E179,MASTER!K:K,0)),"")</f>
        <v/>
      </c>
      <c r="H179" s="104"/>
    </row>
    <row r="180" spans="1:8" ht="24.95" customHeight="1" x14ac:dyDescent="0.3">
      <c r="A180" s="95">
        <v>179</v>
      </c>
      <c r="B180" s="98"/>
      <c r="C180" s="101"/>
      <c r="D180" s="98"/>
      <c r="E180" s="101"/>
      <c r="F180" s="98"/>
      <c r="G180" s="98" t="str">
        <f>IFERROR(INDEX(MASTER!L:L,MATCH(E180,MASTER!K:K,0)),"")</f>
        <v/>
      </c>
      <c r="H180" s="104"/>
    </row>
    <row r="181" spans="1:8" ht="24.95" customHeight="1" x14ac:dyDescent="0.3">
      <c r="A181" s="95">
        <v>180</v>
      </c>
      <c r="B181" s="98"/>
      <c r="C181" s="101"/>
      <c r="D181" s="98"/>
      <c r="E181" s="101"/>
      <c r="F181" s="98"/>
      <c r="G181" s="98" t="str">
        <f>IFERROR(INDEX(MASTER!L:L,MATCH(E181,MASTER!K:K,0)),"")</f>
        <v/>
      </c>
      <c r="H181" s="104"/>
    </row>
    <row r="182" spans="1:8" ht="24.95" customHeight="1" x14ac:dyDescent="0.3">
      <c r="A182" s="95">
        <v>181</v>
      </c>
      <c r="B182" s="98"/>
      <c r="C182" s="101"/>
      <c r="D182" s="98"/>
      <c r="E182" s="101"/>
      <c r="F182" s="98"/>
      <c r="G182" s="98" t="str">
        <f>IFERROR(INDEX(MASTER!L:L,MATCH(E182,MASTER!K:K,0)),"")</f>
        <v/>
      </c>
      <c r="H182" s="104"/>
    </row>
    <row r="183" spans="1:8" ht="24.95" customHeight="1" x14ac:dyDescent="0.3">
      <c r="A183" s="95">
        <v>182</v>
      </c>
      <c r="B183" s="98"/>
      <c r="C183" s="101"/>
      <c r="D183" s="98"/>
      <c r="E183" s="101"/>
      <c r="F183" s="98"/>
      <c r="G183" s="98" t="str">
        <f>IFERROR(INDEX(MASTER!L:L,MATCH(E183,MASTER!K:K,0)),"")</f>
        <v/>
      </c>
      <c r="H183" s="104"/>
    </row>
    <row r="184" spans="1:8" ht="24.95" customHeight="1" x14ac:dyDescent="0.3">
      <c r="A184" s="95">
        <v>183</v>
      </c>
      <c r="B184" s="98"/>
      <c r="C184" s="101"/>
      <c r="D184" s="98"/>
      <c r="E184" s="101"/>
      <c r="F184" s="98"/>
      <c r="G184" s="98" t="str">
        <f>IFERROR(INDEX(MASTER!L:L,MATCH(E184,MASTER!K:K,0)),"")</f>
        <v/>
      </c>
      <c r="H184" s="104"/>
    </row>
    <row r="185" spans="1:8" ht="24.95" customHeight="1" x14ac:dyDescent="0.3">
      <c r="A185" s="95">
        <v>184</v>
      </c>
      <c r="B185" s="98"/>
      <c r="C185" s="101"/>
      <c r="D185" s="98"/>
      <c r="E185" s="101"/>
      <c r="F185" s="98"/>
      <c r="G185" s="98" t="str">
        <f>IFERROR(INDEX(MASTER!L:L,MATCH(E185,MASTER!K:K,0)),"")</f>
        <v/>
      </c>
      <c r="H185" s="104"/>
    </row>
    <row r="186" spans="1:8" ht="24.95" customHeight="1" x14ac:dyDescent="0.3">
      <c r="A186" s="95">
        <v>185</v>
      </c>
      <c r="B186" s="98"/>
      <c r="C186" s="101"/>
      <c r="D186" s="98"/>
      <c r="E186" s="101"/>
      <c r="F186" s="98"/>
      <c r="G186" s="98" t="str">
        <f>IFERROR(INDEX(MASTER!L:L,MATCH(E186,MASTER!K:K,0)),"")</f>
        <v/>
      </c>
      <c r="H186" s="104"/>
    </row>
    <row r="187" spans="1:8" ht="24.95" customHeight="1" x14ac:dyDescent="0.3">
      <c r="A187" s="95">
        <v>186</v>
      </c>
      <c r="B187" s="98"/>
      <c r="C187" s="101"/>
      <c r="D187" s="98"/>
      <c r="E187" s="101"/>
      <c r="F187" s="98"/>
      <c r="G187" s="98" t="str">
        <f>IFERROR(INDEX(MASTER!L:L,MATCH(E187,MASTER!K:K,0)),"")</f>
        <v/>
      </c>
      <c r="H187" s="104"/>
    </row>
    <row r="188" spans="1:8" ht="24.95" customHeight="1" x14ac:dyDescent="0.3">
      <c r="A188" s="95">
        <v>187</v>
      </c>
      <c r="B188" s="98"/>
      <c r="C188" s="101"/>
      <c r="D188" s="98"/>
      <c r="E188" s="101"/>
      <c r="F188" s="98"/>
      <c r="G188" s="98" t="str">
        <f>IFERROR(INDEX(MASTER!L:L,MATCH(E188,MASTER!K:K,0)),"")</f>
        <v/>
      </c>
      <c r="H188" s="104"/>
    </row>
    <row r="189" spans="1:8" ht="24.95" customHeight="1" x14ac:dyDescent="0.3">
      <c r="A189" s="95">
        <v>188</v>
      </c>
      <c r="B189" s="98"/>
      <c r="C189" s="101"/>
      <c r="D189" s="98"/>
      <c r="E189" s="101"/>
      <c r="F189" s="98"/>
      <c r="G189" s="98" t="str">
        <f>IFERROR(INDEX(MASTER!L:L,MATCH(E189,MASTER!K:K,0)),"")</f>
        <v/>
      </c>
      <c r="H189" s="104"/>
    </row>
    <row r="190" spans="1:8" ht="24.95" customHeight="1" x14ac:dyDescent="0.3">
      <c r="A190" s="95">
        <v>189</v>
      </c>
      <c r="B190" s="98"/>
      <c r="C190" s="101"/>
      <c r="D190" s="98"/>
      <c r="E190" s="101"/>
      <c r="F190" s="98"/>
      <c r="G190" s="98" t="str">
        <f>IFERROR(INDEX(MASTER!L:L,MATCH(E190,MASTER!K:K,0)),"")</f>
        <v/>
      </c>
      <c r="H190" s="104"/>
    </row>
    <row r="191" spans="1:8" ht="24.95" customHeight="1" x14ac:dyDescent="0.3">
      <c r="A191" s="95">
        <v>190</v>
      </c>
      <c r="B191" s="98"/>
      <c r="C191" s="101"/>
      <c r="D191" s="98"/>
      <c r="E191" s="101"/>
      <c r="F191" s="98"/>
      <c r="G191" s="98" t="str">
        <f>IFERROR(INDEX(MASTER!L:L,MATCH(E191,MASTER!K:K,0)),"")</f>
        <v/>
      </c>
      <c r="H191" s="104"/>
    </row>
    <row r="192" spans="1:8" ht="24.95" customHeight="1" x14ac:dyDescent="0.3">
      <c r="A192" s="95">
        <v>191</v>
      </c>
      <c r="B192" s="98"/>
      <c r="C192" s="101"/>
      <c r="D192" s="98"/>
      <c r="E192" s="101"/>
      <c r="F192" s="98"/>
      <c r="G192" s="98" t="str">
        <f>IFERROR(INDEX(MASTER!L:L,MATCH(E192,MASTER!K:K,0)),"")</f>
        <v/>
      </c>
      <c r="H192" s="104"/>
    </row>
    <row r="193" spans="1:8" ht="24.95" customHeight="1" x14ac:dyDescent="0.3">
      <c r="A193" s="95">
        <v>192</v>
      </c>
      <c r="B193" s="98"/>
      <c r="C193" s="101"/>
      <c r="D193" s="98"/>
      <c r="E193" s="101"/>
      <c r="F193" s="98"/>
      <c r="G193" s="98" t="str">
        <f>IFERROR(INDEX(MASTER!L:L,MATCH(E193,MASTER!K:K,0)),"")</f>
        <v/>
      </c>
      <c r="H193" s="104"/>
    </row>
    <row r="194" spans="1:8" ht="24.95" customHeight="1" x14ac:dyDescent="0.3">
      <c r="A194" s="95">
        <v>193</v>
      </c>
      <c r="B194" s="98"/>
      <c r="C194" s="101"/>
      <c r="D194" s="98"/>
      <c r="E194" s="101"/>
      <c r="F194" s="98"/>
      <c r="G194" s="98" t="str">
        <f>IFERROR(INDEX(MASTER!L:L,MATCH(E194,MASTER!K:K,0)),"")</f>
        <v/>
      </c>
      <c r="H194" s="104"/>
    </row>
    <row r="195" spans="1:8" ht="24.95" customHeight="1" x14ac:dyDescent="0.3">
      <c r="A195" s="95">
        <v>194</v>
      </c>
      <c r="B195" s="98"/>
      <c r="C195" s="101"/>
      <c r="D195" s="98"/>
      <c r="E195" s="101"/>
      <c r="F195" s="98"/>
      <c r="G195" s="98" t="str">
        <f>IFERROR(INDEX(MASTER!L:L,MATCH(E195,MASTER!K:K,0)),"")</f>
        <v/>
      </c>
      <c r="H195" s="104"/>
    </row>
    <row r="196" spans="1:8" ht="24.95" customHeight="1" x14ac:dyDescent="0.3">
      <c r="A196" s="95">
        <v>195</v>
      </c>
      <c r="B196" s="98"/>
      <c r="C196" s="101"/>
      <c r="D196" s="98"/>
      <c r="E196" s="101"/>
      <c r="F196" s="98"/>
      <c r="G196" s="98" t="str">
        <f>IFERROR(INDEX(MASTER!L:L,MATCH(E196,MASTER!K:K,0)),"")</f>
        <v/>
      </c>
      <c r="H196" s="104"/>
    </row>
    <row r="197" spans="1:8" ht="24.95" customHeight="1" x14ac:dyDescent="0.3">
      <c r="A197" s="95">
        <v>196</v>
      </c>
      <c r="B197" s="98"/>
      <c r="C197" s="101"/>
      <c r="D197" s="98"/>
      <c r="E197" s="101"/>
      <c r="F197" s="98"/>
      <c r="G197" s="98" t="str">
        <f>IFERROR(INDEX(MASTER!L:L,MATCH(E197,MASTER!K:K,0)),"")</f>
        <v/>
      </c>
      <c r="H197" s="104"/>
    </row>
    <row r="198" spans="1:8" ht="24.95" customHeight="1" x14ac:dyDescent="0.3">
      <c r="A198" s="95">
        <v>197</v>
      </c>
      <c r="B198" s="98"/>
      <c r="C198" s="101"/>
      <c r="D198" s="98"/>
      <c r="E198" s="101"/>
      <c r="F198" s="98"/>
      <c r="G198" s="98" t="str">
        <f>IFERROR(INDEX(MASTER!L:L,MATCH(E198,MASTER!K:K,0)),"")</f>
        <v/>
      </c>
      <c r="H198" s="104"/>
    </row>
    <row r="199" spans="1:8" ht="24.95" customHeight="1" x14ac:dyDescent="0.3">
      <c r="A199" s="95">
        <v>198</v>
      </c>
      <c r="B199" s="98"/>
      <c r="C199" s="101"/>
      <c r="D199" s="98"/>
      <c r="E199" s="101"/>
      <c r="F199" s="98"/>
      <c r="G199" s="98" t="str">
        <f>IFERROR(INDEX(MASTER!L:L,MATCH(E199,MASTER!K:K,0)),"")</f>
        <v/>
      </c>
      <c r="H199" s="104"/>
    </row>
    <row r="200" spans="1:8" ht="24.95" customHeight="1" x14ac:dyDescent="0.3">
      <c r="A200" s="95">
        <v>199</v>
      </c>
      <c r="B200" s="98"/>
      <c r="C200" s="101"/>
      <c r="D200" s="98"/>
      <c r="E200" s="101"/>
      <c r="F200" s="98"/>
      <c r="G200" s="98" t="str">
        <f>IFERROR(INDEX(MASTER!L:L,MATCH(E200,MASTER!K:K,0)),"")</f>
        <v/>
      </c>
      <c r="H200" s="104"/>
    </row>
    <row r="201" spans="1:8" ht="24.95" customHeight="1" thickBot="1" x14ac:dyDescent="0.35">
      <c r="A201" s="105">
        <v>200</v>
      </c>
      <c r="B201" s="106"/>
      <c r="C201" s="107"/>
      <c r="D201" s="106"/>
      <c r="E201" s="107"/>
      <c r="F201" s="106"/>
      <c r="G201" s="106" t="str">
        <f>IFERROR(INDEX(MASTER!L:L,MATCH(E201,MASTER!K:K,0)),"")</f>
        <v/>
      </c>
      <c r="H201" s="108"/>
    </row>
    <row r="202" spans="1:8" ht="21" thickBot="1" x14ac:dyDescent="0.35">
      <c r="A202" s="109"/>
      <c r="B202" s="166" t="s">
        <v>701</v>
      </c>
      <c r="C202" s="167"/>
      <c r="D202" s="110">
        <f>SUM(D2:D201)</f>
        <v>18</v>
      </c>
      <c r="E202" s="168" t="s">
        <v>701</v>
      </c>
      <c r="F202" s="167"/>
      <c r="G202" s="169"/>
      <c r="H202" s="111">
        <f t="shared" ref="H202" si="0">SUM(H2:H201)</f>
        <v>20</v>
      </c>
    </row>
  </sheetData>
  <mergeCells count="2">
    <mergeCell ref="B202:C202"/>
    <mergeCell ref="E202:G20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347"/>
  <sheetViews>
    <sheetView tabSelected="1" zoomScale="115" zoomScaleNormal="115" workbookViewId="0">
      <pane ySplit="4" topLeftCell="A55" activePane="bottomLeft" state="frozen"/>
      <selection pane="bottomLeft" activeCell="N55" sqref="N55:O55"/>
    </sheetView>
  </sheetViews>
  <sheetFormatPr defaultColWidth="9.140625" defaultRowHeight="20.100000000000001" customHeight="1" x14ac:dyDescent="0.2"/>
  <cols>
    <col min="1" max="1" width="9.140625" style="16"/>
    <col min="2" max="2" width="13.42578125" style="3" bestFit="1" customWidth="1"/>
    <col min="3" max="3" width="9.140625" style="3"/>
    <col min="4" max="4" width="13.7109375" style="6" customWidth="1"/>
    <col min="5" max="5" width="5.7109375" style="6" customWidth="1"/>
    <col min="6" max="7" width="6.7109375" style="6" customWidth="1"/>
    <col min="8" max="9" width="6.7109375" style="6" hidden="1" customWidth="1"/>
    <col min="10" max="10" width="26.7109375" style="6" hidden="1" customWidth="1"/>
    <col min="11" max="11" width="32.85546875" style="54" hidden="1" customWidth="1"/>
    <col min="12" max="12" width="21.42578125" style="7" hidden="1" customWidth="1"/>
    <col min="13" max="13" width="44.140625" style="56" hidden="1" customWidth="1"/>
    <col min="14" max="14" width="44.140625" style="7" customWidth="1"/>
    <col min="15" max="15" width="13" style="7" bestFit="1" customWidth="1"/>
    <col min="16" max="16" width="15.42578125" style="6" bestFit="1" customWidth="1"/>
    <col min="17" max="17" width="15.42578125" style="6" customWidth="1"/>
    <col min="18" max="20" width="11.5703125" style="15" bestFit="1" customWidth="1"/>
    <col min="21" max="21" width="9.140625" style="3"/>
    <col min="22" max="16384" width="9.140625" style="1"/>
  </cols>
  <sheetData>
    <row r="1" spans="1:21" ht="20.100000000000001" customHeight="1" x14ac:dyDescent="0.2">
      <c r="O1" s="170">
        <f ca="1">TODAY()</f>
        <v>46084</v>
      </c>
      <c r="P1" s="171"/>
      <c r="Q1" s="172">
        <f ca="1">TODAY()</f>
        <v>46084</v>
      </c>
      <c r="R1" s="172"/>
      <c r="T1" s="19"/>
    </row>
    <row r="2" spans="1:21" ht="20.100000000000001" customHeight="1" x14ac:dyDescent="0.2">
      <c r="O2" s="173" t="s">
        <v>274</v>
      </c>
      <c r="P2" s="173"/>
      <c r="Q2" s="173"/>
      <c r="R2" s="173"/>
      <c r="T2" s="19"/>
    </row>
    <row r="3" spans="1:21" ht="20.100000000000001" customHeight="1" x14ac:dyDescent="0.2">
      <c r="O3" s="173" t="s">
        <v>273</v>
      </c>
      <c r="P3" s="173"/>
      <c r="Q3" s="173"/>
      <c r="R3" s="173"/>
      <c r="T3" s="19"/>
    </row>
    <row r="4" spans="1:21" ht="20.100000000000001" customHeight="1" x14ac:dyDescent="0.2">
      <c r="A4" s="17" t="s">
        <v>10</v>
      </c>
      <c r="B4" s="11" t="s">
        <v>9</v>
      </c>
      <c r="C4" s="25" t="s">
        <v>45</v>
      </c>
      <c r="D4" s="10" t="s">
        <v>5</v>
      </c>
      <c r="E4" s="8" t="s">
        <v>6</v>
      </c>
      <c r="F4" s="8" t="s">
        <v>7</v>
      </c>
      <c r="G4" s="25" t="s">
        <v>46</v>
      </c>
      <c r="H4" s="20" t="s">
        <v>15</v>
      </c>
      <c r="I4" s="20" t="s">
        <v>16</v>
      </c>
      <c r="J4" s="25" t="s">
        <v>17</v>
      </c>
      <c r="K4" s="55" t="s">
        <v>0</v>
      </c>
      <c r="L4" s="25">
        <v>1</v>
      </c>
      <c r="M4" s="57"/>
      <c r="N4" s="25" t="s">
        <v>11</v>
      </c>
      <c r="O4" s="8" t="s">
        <v>1</v>
      </c>
      <c r="P4" s="18" t="s">
        <v>2</v>
      </c>
      <c r="Q4" s="18" t="s">
        <v>3</v>
      </c>
      <c r="R4" s="12" t="s">
        <v>12</v>
      </c>
      <c r="S4" s="12" t="s">
        <v>13</v>
      </c>
      <c r="T4" s="12" t="s">
        <v>14</v>
      </c>
      <c r="U4" s="18" t="s">
        <v>8</v>
      </c>
    </row>
    <row r="5" spans="1:21" s="23" customFormat="1" ht="20.100000000000001" customHeight="1" x14ac:dyDescent="0.2">
      <c r="A5" s="21"/>
      <c r="B5" s="22"/>
      <c r="C5" s="22"/>
      <c r="D5" s="24"/>
      <c r="E5" s="24"/>
      <c r="F5" s="9"/>
      <c r="G5" s="9"/>
      <c r="H5" s="9">
        <f>IF(D5="",0,IF(VALUE(D5)&gt;VALUE(E5),IF(OR(VALUE(D5)=13,VALUE(D5)=20,VALUE(D5)=72,VALUE(D5)=75,VALUE(D5)=78,VALUE(D5)=80,VALUE(D5)=84),D5,IF(VALUE(D5)&lt;72,72,IF(VALUE(D5)&lt;75,75,IF(VALUE(D5)&lt;78,78,IF(VALUE(D5)&lt;80,80,IF(VALUE(D5)&lt;84,84,IF(VALUE(D5)&gt;84,84,""""))))))),IF(OR(VALUE(D5)=13,VALUE(D5)=20,VALUE(D5)=30,VALUE(D5)=33,VALUE(D5)=36,VALUE(D5)=39,VALUE(D5)=42,VALUE(D5)=45,VALUE(D5)=48,VALUE(D5)=51,VALUE(D5)=54,VALUE(D5)=57,VALUE(D5)=60,VALUE(D5)=63,VALUE(D5)=66,VALUE(D5)=69,VALUE(D5)=72),D5,IF(VALUE(D5)&lt;30,30,IF(VALUE(D5)&lt;33,33,IF(VALUE(D5)&lt;36,36,IF(VALUE(D5)&lt;39,39,IF(VALUE(D5)&lt;42,42,IF(VALUE(D5)&lt;45,45,IF(VALUE(D5)&lt;48,48,IF(VALUE(D5)&lt;51,51,IF(VALUE(D5)&lt;54,54,IF(VALUE(D5)&lt;57,57,IF(VALUE(D5)&lt;60,60,IF(VALUE(D5)&lt;63,63,IF(VALUE(D5)&lt;66,66,IF(VALUE(D5)&lt;69,69,IF(VALUE(D5)&lt;72,72,IF(VALUE(D5)&gt;72,72,"""")))))))))))))))))))</f>
        <v>0</v>
      </c>
      <c r="I5" s="9">
        <f>IF(E5="",0,IF(VALUE(D5)&gt;VALUE(E5),IF(OR(VALUE(E5)=13,VALUE(E5)=18,VALUE(E5)=30,VALUE(E5)=33,VALUE(E5)=36,VALUE(E5)=39,VALUE(E5)=42,VALUE(E5)=45,VALUE(E5)=48,VALUE(E5)=51,VALUE(E5)=54,VALUE(E5)=57,VALUE(E5)=60,VALUE(E5)=63,VALUE(E5)=66,VALUE(E5)=69,VALUE(E5)=72),E5,IF(VALUE(E5)&lt;30,30,IF(VALUE(E5)&lt;33,33,IF(VALUE(E5)&lt;36,36,IF(VALUE(E5)&lt;39,39,IF(VALUE(E5)&lt;42,42,IF(VALUE(E5)&lt;45,45,IF(VALUE(E5)&lt;48,48,IF(VALUE(E5)&lt;51,51,IF(VALUE(E5)&lt;54,54,IF(VALUE(E5)&lt;57,57,IF(VALUE(E5)&lt;60,60,IF(VALUE(E5)&lt;63,63,IF(VALUE(E5)&lt;66,66,IF(VALUE(E5)&lt;69,69,IF(VALUE(E5)&lt;72,72,IF(VALUE(E5)&gt;72,72,""""))))))))))))))))),IF(OR(VALUE(E5)=13,VALUE(E5)=18,VALUE(E5)=72,VALUE(E5)=75,VALUE(E5)=78,VALUE(E5)=80,VALUE(E5)=84),E5,IF(VALUE(E5)&lt;72,72,IF(VALUE(E5)&lt;75,75,IF(VALUE(E5)&lt;78,78,IF(VALUE(E5)&lt;80,80,IF(VALUE(E5)&lt;84,84,IF(VALUE(E5)&gt;84,84,"""")))))))))</f>
        <v>0</v>
      </c>
      <c r="J5" s="9" t="str">
        <f t="shared" ref="J5:J36" si="0">B5&amp;"-"&amp;C5</f>
        <v>-</v>
      </c>
      <c r="K5" s="52" t="str">
        <f>IFERROR(VLOOKUP(J5,MASTER!C:D,2,0),"")</f>
        <v/>
      </c>
      <c r="L5" s="4" t="str">
        <f>IFERROR((H5&amp;"X"&amp;I5&amp;"X"&amp;"0"&amp;F5),"")</f>
        <v>0X0X0</v>
      </c>
      <c r="M5" s="58" t="str">
        <f>CONCATENATE(K5,L5)</f>
        <v>0X0X0</v>
      </c>
      <c r="N5" s="4" t="str">
        <f t="shared" ref="N5:N68" si="1">M5</f>
        <v>0X0X0</v>
      </c>
      <c r="O5" s="5">
        <f>+G5</f>
        <v>0</v>
      </c>
      <c r="P5" s="9"/>
      <c r="Q5" s="9"/>
      <c r="R5" s="13"/>
      <c r="S5" s="13"/>
      <c r="T5" s="13"/>
      <c r="U5" s="5"/>
    </row>
    <row r="6" spans="1:21" s="23" customFormat="1" ht="20.100000000000001" customHeight="1" x14ac:dyDescent="0.2">
      <c r="A6" s="21"/>
      <c r="B6" s="22"/>
      <c r="C6" s="22"/>
      <c r="D6" s="24"/>
      <c r="E6" s="24"/>
      <c r="F6" s="9"/>
      <c r="G6" s="9"/>
      <c r="H6" s="9">
        <f t="shared" ref="H6:H62" si="2">IF(D6="",0,IF(VALUE(D6)&gt;VALUE(E6),IF(OR(VALUE(D6)=13,VALUE(D6)=20,VALUE(D6)=72,VALUE(D6)=75,VALUE(D6)=78,VALUE(D6)=80,VALUE(D6)=84),D6,IF(VALUE(D6)&lt;72,72,IF(VALUE(D6)&lt;75,75,IF(VALUE(D6)&lt;78,78,IF(VALUE(D6)&lt;80,80,IF(VALUE(D6)&lt;84,84,IF(VALUE(D6)&gt;84,84,""""))))))),IF(OR(VALUE(D6)=13,VALUE(D6)=20,VALUE(D6)=30,VALUE(D6)=33,VALUE(D6)=36,VALUE(D6)=39,VALUE(D6)=42,VALUE(D6)=45,VALUE(D6)=48,VALUE(D6)=51,VALUE(D6)=54,VALUE(D6)=57,VALUE(D6)=60,VALUE(D6)=63,VALUE(D6)=66,VALUE(D6)=69,VALUE(D6)=72),D6,IF(VALUE(D6)&lt;30,30,IF(VALUE(D6)&lt;33,33,IF(VALUE(D6)&lt;36,36,IF(VALUE(D6)&lt;39,39,IF(VALUE(D6)&lt;42,42,IF(VALUE(D6)&lt;45,45,IF(VALUE(D6)&lt;48,48,IF(VALUE(D6)&lt;51,51,IF(VALUE(D6)&lt;54,54,IF(VALUE(D6)&lt;57,57,IF(VALUE(D6)&lt;60,60,IF(VALUE(D6)&lt;63,63,IF(VALUE(D6)&lt;66,66,IF(VALUE(D6)&lt;69,69,IF(VALUE(D6)&lt;72,72,IF(VALUE(D6)&gt;72,72,"""")))))))))))))))))))</f>
        <v>0</v>
      </c>
      <c r="I6" s="9">
        <f t="shared" ref="I6:I62" si="3">IF(E6="",0,IF(VALUE(D6)&gt;VALUE(E6),IF(OR(VALUE(E6)=13,VALUE(E6)=18,VALUE(E6)=30,VALUE(E6)=33,VALUE(E6)=36,VALUE(E6)=39,VALUE(E6)=42,VALUE(E6)=45,VALUE(E6)=48,VALUE(E6)=51,VALUE(E6)=54,VALUE(E6)=57,VALUE(E6)=60,VALUE(E6)=63,VALUE(E6)=66,VALUE(E6)=69,VALUE(E6)=72),E6,IF(VALUE(E6)&lt;30,30,IF(VALUE(E6)&lt;33,33,IF(VALUE(E6)&lt;36,36,IF(VALUE(E6)&lt;39,39,IF(VALUE(E6)&lt;42,42,IF(VALUE(E6)&lt;45,45,IF(VALUE(E6)&lt;48,48,IF(VALUE(E6)&lt;51,51,IF(VALUE(E6)&lt;54,54,IF(VALUE(E6)&lt;57,57,IF(VALUE(E6)&lt;60,60,IF(VALUE(E6)&lt;63,63,IF(VALUE(E6)&lt;66,66,IF(VALUE(E6)&lt;69,69,IF(VALUE(E6)&lt;72,72,IF(VALUE(E6)&gt;72,72,""""))))))))))))))))),IF(OR(VALUE(E6)=13,VALUE(E6)=18,VALUE(E6)=72,VALUE(E6)=75,VALUE(E6)=78,VALUE(E6)=80,VALUE(E6)=84),E6,IF(VALUE(E6)&lt;72,72,IF(VALUE(E6)&lt;75,75,IF(VALUE(E6)&lt;78,78,IF(VALUE(E6)&lt;80,80,IF(VALUE(E6)&lt;84,84,IF(VALUE(E6)&gt;84,84,"""")))))))))</f>
        <v>0</v>
      </c>
      <c r="J6" s="9" t="str">
        <f t="shared" si="0"/>
        <v>-</v>
      </c>
      <c r="K6" s="52" t="str">
        <f>IFERROR(VLOOKUP(J6,MASTER!C:D,2,0),"")</f>
        <v/>
      </c>
      <c r="L6" s="4" t="str">
        <f t="shared" ref="L6:L69" si="4">IFERROR((H6&amp;"X"&amp;I6&amp;"X"&amp;"0"&amp;F6),"")</f>
        <v>0X0X0</v>
      </c>
      <c r="M6" s="58" t="str">
        <f t="shared" ref="M6:M38" si="5">CONCATENATE(K6,L6)</f>
        <v>0X0X0</v>
      </c>
      <c r="N6" s="4" t="str">
        <f t="shared" si="1"/>
        <v>0X0X0</v>
      </c>
      <c r="O6" s="5">
        <f t="shared" ref="O6:O69" si="6">+G6</f>
        <v>0</v>
      </c>
      <c r="P6" s="9"/>
      <c r="Q6" s="9"/>
      <c r="R6" s="13"/>
      <c r="S6" s="13"/>
      <c r="T6" s="13"/>
      <c r="U6" s="5"/>
    </row>
    <row r="7" spans="1:21" s="23" customFormat="1" ht="20.100000000000001" customHeight="1" x14ac:dyDescent="0.2">
      <c r="A7" s="21"/>
      <c r="B7" s="22"/>
      <c r="C7" s="22"/>
      <c r="D7" s="24"/>
      <c r="E7" s="24"/>
      <c r="F7" s="9"/>
      <c r="G7" s="9"/>
      <c r="H7" s="9">
        <f t="shared" si="2"/>
        <v>0</v>
      </c>
      <c r="I7" s="9">
        <f t="shared" si="3"/>
        <v>0</v>
      </c>
      <c r="J7" s="9" t="str">
        <f t="shared" si="0"/>
        <v>-</v>
      </c>
      <c r="K7" s="52" t="str">
        <f>IFERROR(VLOOKUP(J7,MASTER!C:D,2,0),"")</f>
        <v/>
      </c>
      <c r="L7" s="4" t="str">
        <f t="shared" si="4"/>
        <v>0X0X0</v>
      </c>
      <c r="M7" s="58" t="str">
        <f t="shared" si="5"/>
        <v>0X0X0</v>
      </c>
      <c r="N7" s="4" t="str">
        <f t="shared" si="1"/>
        <v>0X0X0</v>
      </c>
      <c r="O7" s="5">
        <f t="shared" si="6"/>
        <v>0</v>
      </c>
      <c r="P7" s="9"/>
      <c r="Q7" s="9"/>
      <c r="R7" s="13"/>
      <c r="S7" s="13"/>
      <c r="T7" s="13"/>
      <c r="U7" s="5"/>
    </row>
    <row r="8" spans="1:21" s="23" customFormat="1" ht="20.100000000000001" customHeight="1" x14ac:dyDescent="0.2">
      <c r="A8" s="21"/>
      <c r="B8" s="5"/>
      <c r="C8" s="5"/>
      <c r="D8" s="24"/>
      <c r="E8" s="24"/>
      <c r="F8" s="9"/>
      <c r="G8" s="9"/>
      <c r="H8" s="9">
        <f t="shared" si="2"/>
        <v>0</v>
      </c>
      <c r="I8" s="9">
        <f t="shared" si="3"/>
        <v>0</v>
      </c>
      <c r="J8" s="9" t="str">
        <f t="shared" si="0"/>
        <v>-</v>
      </c>
      <c r="K8" s="52" t="str">
        <f>IFERROR(VLOOKUP(J8,MASTER!C:D,2,0),"")</f>
        <v/>
      </c>
      <c r="L8" s="4" t="str">
        <f t="shared" si="4"/>
        <v>0X0X0</v>
      </c>
      <c r="M8" s="58" t="str">
        <f t="shared" si="5"/>
        <v>0X0X0</v>
      </c>
      <c r="N8" s="4" t="str">
        <f t="shared" si="1"/>
        <v>0X0X0</v>
      </c>
      <c r="O8" s="5">
        <f t="shared" si="6"/>
        <v>0</v>
      </c>
      <c r="P8" s="9"/>
      <c r="Q8" s="9"/>
      <c r="R8" s="13"/>
      <c r="S8" s="13"/>
      <c r="T8" s="13"/>
      <c r="U8" s="5"/>
    </row>
    <row r="9" spans="1:21" s="23" customFormat="1" ht="20.100000000000001" customHeight="1" x14ac:dyDescent="0.2">
      <c r="A9" s="21"/>
      <c r="B9" s="5"/>
      <c r="C9" s="5"/>
      <c r="D9" s="24"/>
      <c r="E9" s="24"/>
      <c r="F9" s="9"/>
      <c r="G9" s="9"/>
      <c r="H9" s="9">
        <f t="shared" si="2"/>
        <v>0</v>
      </c>
      <c r="I9" s="9">
        <f t="shared" si="3"/>
        <v>0</v>
      </c>
      <c r="J9" s="9" t="str">
        <f t="shared" si="0"/>
        <v>-</v>
      </c>
      <c r="K9" s="52" t="str">
        <f>IFERROR(VLOOKUP(J9,MASTER!C:D,2,0),"")</f>
        <v/>
      </c>
      <c r="L9" s="4" t="str">
        <f t="shared" si="4"/>
        <v>0X0X0</v>
      </c>
      <c r="M9" s="58" t="str">
        <f t="shared" si="5"/>
        <v>0X0X0</v>
      </c>
      <c r="N9" s="4" t="str">
        <f t="shared" si="1"/>
        <v>0X0X0</v>
      </c>
      <c r="O9" s="5">
        <f t="shared" si="6"/>
        <v>0</v>
      </c>
      <c r="P9" s="9"/>
      <c r="Q9" s="9"/>
      <c r="R9" s="13"/>
      <c r="S9" s="13"/>
      <c r="T9" s="13"/>
      <c r="U9" s="5"/>
    </row>
    <row r="10" spans="1:21" s="23" customFormat="1" ht="20.100000000000001" customHeight="1" x14ac:dyDescent="0.2">
      <c r="A10" s="21"/>
      <c r="B10" s="5"/>
      <c r="C10" s="5"/>
      <c r="D10" s="24"/>
      <c r="E10" s="24"/>
      <c r="F10" s="9"/>
      <c r="G10" s="9"/>
      <c r="H10" s="9">
        <f t="shared" si="2"/>
        <v>0</v>
      </c>
      <c r="I10" s="9">
        <f t="shared" si="3"/>
        <v>0</v>
      </c>
      <c r="J10" s="9" t="str">
        <f t="shared" si="0"/>
        <v>-</v>
      </c>
      <c r="K10" s="52" t="str">
        <f>IFERROR(VLOOKUP(J10,MASTER!C:D,2,0),"")</f>
        <v/>
      </c>
      <c r="L10" s="4" t="str">
        <f t="shared" si="4"/>
        <v>0X0X0</v>
      </c>
      <c r="M10" s="58" t="str">
        <f t="shared" si="5"/>
        <v>0X0X0</v>
      </c>
      <c r="N10" s="4" t="str">
        <f t="shared" si="1"/>
        <v>0X0X0</v>
      </c>
      <c r="O10" s="5">
        <f t="shared" si="6"/>
        <v>0</v>
      </c>
      <c r="P10" s="9"/>
      <c r="Q10" s="9"/>
      <c r="R10" s="13"/>
      <c r="S10" s="13"/>
      <c r="T10" s="13"/>
      <c r="U10" s="5"/>
    </row>
    <row r="11" spans="1:21" s="23" customFormat="1" ht="20.100000000000001" customHeight="1" x14ac:dyDescent="0.2">
      <c r="A11" s="21"/>
      <c r="B11" s="5"/>
      <c r="C11" s="5"/>
      <c r="D11" s="24"/>
      <c r="E11" s="24"/>
      <c r="F11" s="9"/>
      <c r="G11" s="9"/>
      <c r="H11" s="9">
        <f t="shared" si="2"/>
        <v>0</v>
      </c>
      <c r="I11" s="9">
        <f t="shared" si="3"/>
        <v>0</v>
      </c>
      <c r="J11" s="9" t="str">
        <f t="shared" si="0"/>
        <v>-</v>
      </c>
      <c r="K11" s="52" t="str">
        <f>IFERROR(VLOOKUP(J11,MASTER!C:D,2,0),"")</f>
        <v/>
      </c>
      <c r="L11" s="4" t="str">
        <f t="shared" si="4"/>
        <v>0X0X0</v>
      </c>
      <c r="M11" s="58" t="str">
        <f t="shared" si="5"/>
        <v>0X0X0</v>
      </c>
      <c r="N11" s="4" t="str">
        <f t="shared" si="1"/>
        <v>0X0X0</v>
      </c>
      <c r="O11" s="5">
        <f t="shared" si="6"/>
        <v>0</v>
      </c>
      <c r="P11" s="9"/>
      <c r="Q11" s="9"/>
      <c r="R11" s="13"/>
      <c r="S11" s="13"/>
      <c r="T11" s="13"/>
      <c r="U11" s="5"/>
    </row>
    <row r="12" spans="1:21" s="23" customFormat="1" ht="20.100000000000001" customHeight="1" x14ac:dyDescent="0.2">
      <c r="A12" s="21"/>
      <c r="B12" s="5"/>
      <c r="C12" s="5"/>
      <c r="D12" s="24"/>
      <c r="E12" s="24"/>
      <c r="F12" s="9"/>
      <c r="G12" s="9"/>
      <c r="H12" s="9">
        <f t="shared" si="2"/>
        <v>0</v>
      </c>
      <c r="I12" s="9">
        <f t="shared" si="3"/>
        <v>0</v>
      </c>
      <c r="J12" s="9" t="str">
        <f t="shared" si="0"/>
        <v>-</v>
      </c>
      <c r="K12" s="52" t="str">
        <f>IFERROR(VLOOKUP(J12,MASTER!C:D,2,0),"")</f>
        <v/>
      </c>
      <c r="L12" s="4" t="str">
        <f t="shared" si="4"/>
        <v>0X0X0</v>
      </c>
      <c r="M12" s="58" t="str">
        <f t="shared" si="5"/>
        <v>0X0X0</v>
      </c>
      <c r="N12" s="4" t="str">
        <f t="shared" si="1"/>
        <v>0X0X0</v>
      </c>
      <c r="O12" s="5">
        <f t="shared" si="6"/>
        <v>0</v>
      </c>
      <c r="P12" s="9"/>
      <c r="Q12" s="9"/>
      <c r="R12" s="13"/>
      <c r="S12" s="13"/>
      <c r="T12" s="13"/>
      <c r="U12" s="5"/>
    </row>
    <row r="13" spans="1:21" s="23" customFormat="1" ht="20.100000000000001" customHeight="1" x14ac:dyDescent="0.2">
      <c r="A13" s="21"/>
      <c r="B13" s="5"/>
      <c r="C13" s="5"/>
      <c r="D13" s="24"/>
      <c r="E13" s="24"/>
      <c r="F13" s="9"/>
      <c r="G13" s="9"/>
      <c r="H13" s="9">
        <f t="shared" si="2"/>
        <v>0</v>
      </c>
      <c r="I13" s="9">
        <f t="shared" si="3"/>
        <v>0</v>
      </c>
      <c r="J13" s="9" t="str">
        <f t="shared" si="0"/>
        <v>-</v>
      </c>
      <c r="K13" s="52" t="str">
        <f>IFERROR(VLOOKUP(J13,MASTER!C:D,2,0),"")</f>
        <v/>
      </c>
      <c r="L13" s="4" t="str">
        <f t="shared" si="4"/>
        <v>0X0X0</v>
      </c>
      <c r="M13" s="58" t="str">
        <f t="shared" si="5"/>
        <v>0X0X0</v>
      </c>
      <c r="N13" s="4" t="str">
        <f t="shared" si="1"/>
        <v>0X0X0</v>
      </c>
      <c r="O13" s="5">
        <f t="shared" si="6"/>
        <v>0</v>
      </c>
      <c r="P13" s="9"/>
      <c r="Q13" s="9"/>
      <c r="R13" s="13"/>
      <c r="S13" s="13"/>
      <c r="T13" s="13"/>
      <c r="U13" s="5"/>
    </row>
    <row r="14" spans="1:21" s="23" customFormat="1" ht="20.100000000000001" customHeight="1" x14ac:dyDescent="0.2">
      <c r="A14" s="21"/>
      <c r="B14" s="5"/>
      <c r="C14" s="5"/>
      <c r="D14" s="24"/>
      <c r="E14" s="24"/>
      <c r="F14" s="9"/>
      <c r="G14" s="9"/>
      <c r="H14" s="9">
        <f t="shared" si="2"/>
        <v>0</v>
      </c>
      <c r="I14" s="9">
        <f t="shared" si="3"/>
        <v>0</v>
      </c>
      <c r="J14" s="9" t="str">
        <f t="shared" si="0"/>
        <v>-</v>
      </c>
      <c r="K14" s="52" t="str">
        <f>IFERROR(VLOOKUP(J14,MASTER!C:D,2,0),"")</f>
        <v/>
      </c>
      <c r="L14" s="4" t="str">
        <f t="shared" si="4"/>
        <v>0X0X0</v>
      </c>
      <c r="M14" s="58" t="str">
        <f t="shared" si="5"/>
        <v>0X0X0</v>
      </c>
      <c r="N14" s="4" t="str">
        <f t="shared" si="1"/>
        <v>0X0X0</v>
      </c>
      <c r="O14" s="5">
        <f t="shared" si="6"/>
        <v>0</v>
      </c>
      <c r="P14" s="9"/>
      <c r="Q14" s="9"/>
      <c r="R14" s="13"/>
      <c r="S14" s="13"/>
      <c r="T14" s="13"/>
      <c r="U14" s="5"/>
    </row>
    <row r="15" spans="1:21" s="23" customFormat="1" ht="20.100000000000001" customHeight="1" x14ac:dyDescent="0.2">
      <c r="A15" s="21"/>
      <c r="B15" s="5"/>
      <c r="C15" s="5"/>
      <c r="D15" s="24"/>
      <c r="E15" s="24"/>
      <c r="F15" s="9"/>
      <c r="G15" s="9"/>
      <c r="H15" s="9">
        <f t="shared" si="2"/>
        <v>0</v>
      </c>
      <c r="I15" s="9">
        <f t="shared" si="3"/>
        <v>0</v>
      </c>
      <c r="J15" s="9" t="str">
        <f t="shared" si="0"/>
        <v>-</v>
      </c>
      <c r="K15" s="52" t="str">
        <f>IFERROR(VLOOKUP(J15,MASTER!C:D,2,0),"")</f>
        <v/>
      </c>
      <c r="L15" s="4" t="str">
        <f t="shared" si="4"/>
        <v>0X0X0</v>
      </c>
      <c r="M15" s="58" t="str">
        <f t="shared" si="5"/>
        <v>0X0X0</v>
      </c>
      <c r="N15" s="4" t="str">
        <f t="shared" si="1"/>
        <v>0X0X0</v>
      </c>
      <c r="O15" s="5">
        <f t="shared" si="6"/>
        <v>0</v>
      </c>
      <c r="P15" s="9"/>
      <c r="Q15" s="9"/>
      <c r="R15" s="13"/>
      <c r="S15" s="13"/>
      <c r="T15" s="13"/>
      <c r="U15" s="5"/>
    </row>
    <row r="16" spans="1:21" ht="20.100000000000001" customHeight="1" x14ac:dyDescent="0.2">
      <c r="A16" s="21"/>
      <c r="B16" s="5"/>
      <c r="C16" s="5"/>
      <c r="D16" s="24"/>
      <c r="E16" s="24"/>
      <c r="F16" s="9"/>
      <c r="G16" s="9"/>
      <c r="H16" s="9">
        <f t="shared" si="2"/>
        <v>0</v>
      </c>
      <c r="I16" s="9">
        <f t="shared" si="3"/>
        <v>0</v>
      </c>
      <c r="J16" s="9" t="str">
        <f t="shared" si="0"/>
        <v>-</v>
      </c>
      <c r="K16" s="52" t="str">
        <f>IFERROR(VLOOKUP(J16,MASTER!C:D,2,0),"")</f>
        <v/>
      </c>
      <c r="L16" s="4" t="str">
        <f t="shared" si="4"/>
        <v>0X0X0</v>
      </c>
      <c r="M16" s="58" t="str">
        <f t="shared" si="5"/>
        <v>0X0X0</v>
      </c>
      <c r="N16" s="4" t="str">
        <f t="shared" si="1"/>
        <v>0X0X0</v>
      </c>
      <c r="O16" s="5">
        <f t="shared" si="6"/>
        <v>0</v>
      </c>
      <c r="P16" s="9"/>
      <c r="Q16" s="9"/>
      <c r="R16" s="13"/>
      <c r="S16" s="13"/>
      <c r="T16" s="13"/>
      <c r="U16" s="5"/>
    </row>
    <row r="17" spans="1:21" ht="20.100000000000001" customHeight="1" x14ac:dyDescent="0.2">
      <c r="A17" s="21"/>
      <c r="B17" s="5"/>
      <c r="C17" s="5"/>
      <c r="D17" s="24"/>
      <c r="E17" s="24"/>
      <c r="F17" s="9"/>
      <c r="G17" s="9"/>
      <c r="H17" s="9">
        <f t="shared" si="2"/>
        <v>0</v>
      </c>
      <c r="I17" s="9">
        <f t="shared" si="3"/>
        <v>0</v>
      </c>
      <c r="J17" s="9" t="str">
        <f t="shared" si="0"/>
        <v>-</v>
      </c>
      <c r="K17" s="52" t="str">
        <f>IFERROR(VLOOKUP(J17,MASTER!C:D,2,0),"")</f>
        <v/>
      </c>
      <c r="L17" s="4" t="str">
        <f t="shared" si="4"/>
        <v>0X0X0</v>
      </c>
      <c r="M17" s="58" t="str">
        <f t="shared" si="5"/>
        <v>0X0X0</v>
      </c>
      <c r="N17" s="4" t="str">
        <f t="shared" si="1"/>
        <v>0X0X0</v>
      </c>
      <c r="O17" s="5">
        <f t="shared" si="6"/>
        <v>0</v>
      </c>
      <c r="P17" s="9"/>
      <c r="Q17" s="9"/>
      <c r="R17" s="13"/>
      <c r="S17" s="13"/>
      <c r="T17" s="13"/>
      <c r="U17" s="5"/>
    </row>
    <row r="18" spans="1:21" ht="20.100000000000001" customHeight="1" x14ac:dyDescent="0.2">
      <c r="A18" s="21"/>
      <c r="B18" s="5"/>
      <c r="C18" s="5"/>
      <c r="D18" s="24"/>
      <c r="E18" s="24"/>
      <c r="F18" s="9"/>
      <c r="G18" s="9"/>
      <c r="H18" s="9">
        <f t="shared" si="2"/>
        <v>0</v>
      </c>
      <c r="I18" s="9">
        <f t="shared" si="3"/>
        <v>0</v>
      </c>
      <c r="J18" s="9" t="str">
        <f t="shared" si="0"/>
        <v>-</v>
      </c>
      <c r="K18" s="52" t="str">
        <f>IFERROR(VLOOKUP(J18,MASTER!C:D,2,0),"")</f>
        <v/>
      </c>
      <c r="L18" s="4" t="str">
        <f t="shared" si="4"/>
        <v>0X0X0</v>
      </c>
      <c r="M18" s="58" t="str">
        <f t="shared" si="5"/>
        <v>0X0X0</v>
      </c>
      <c r="N18" s="4" t="str">
        <f t="shared" si="1"/>
        <v>0X0X0</v>
      </c>
      <c r="O18" s="5">
        <f t="shared" si="6"/>
        <v>0</v>
      </c>
      <c r="P18" s="9"/>
      <c r="Q18" s="9"/>
      <c r="R18" s="13"/>
      <c r="S18" s="13"/>
      <c r="T18" s="13"/>
      <c r="U18" s="5"/>
    </row>
    <row r="19" spans="1:21" ht="20.100000000000001" customHeight="1" x14ac:dyDescent="0.2">
      <c r="A19" s="21"/>
      <c r="B19" s="5"/>
      <c r="C19" s="5"/>
      <c r="D19" s="24"/>
      <c r="E19" s="24"/>
      <c r="F19" s="9"/>
      <c r="G19" s="9"/>
      <c r="H19" s="9">
        <f t="shared" si="2"/>
        <v>0</v>
      </c>
      <c r="I19" s="9">
        <f t="shared" si="3"/>
        <v>0</v>
      </c>
      <c r="J19" s="9" t="str">
        <f t="shared" si="0"/>
        <v>-</v>
      </c>
      <c r="K19" s="52" t="str">
        <f>IFERROR(VLOOKUP(J19,MASTER!C:D,2,0),"")</f>
        <v/>
      </c>
      <c r="L19" s="4" t="str">
        <f t="shared" si="4"/>
        <v>0X0X0</v>
      </c>
      <c r="M19" s="58" t="str">
        <f t="shared" si="5"/>
        <v>0X0X0</v>
      </c>
      <c r="N19" s="4" t="str">
        <f t="shared" si="1"/>
        <v>0X0X0</v>
      </c>
      <c r="O19" s="5">
        <f t="shared" si="6"/>
        <v>0</v>
      </c>
      <c r="P19" s="9"/>
      <c r="Q19" s="9"/>
      <c r="R19" s="13"/>
      <c r="S19" s="13"/>
      <c r="T19" s="13"/>
      <c r="U19" s="5"/>
    </row>
    <row r="20" spans="1:21" ht="20.100000000000001" customHeight="1" x14ac:dyDescent="0.2">
      <c r="A20" s="21"/>
      <c r="B20" s="5"/>
      <c r="C20" s="5"/>
      <c r="D20" s="24"/>
      <c r="E20" s="24"/>
      <c r="F20" s="9"/>
      <c r="G20" s="9"/>
      <c r="H20" s="9">
        <f t="shared" si="2"/>
        <v>0</v>
      </c>
      <c r="I20" s="9">
        <f t="shared" si="3"/>
        <v>0</v>
      </c>
      <c r="J20" s="9" t="str">
        <f t="shared" si="0"/>
        <v>-</v>
      </c>
      <c r="K20" s="52" t="str">
        <f>IFERROR(VLOOKUP(J20,MASTER!C:D,2,0),"")</f>
        <v/>
      </c>
      <c r="L20" s="4" t="str">
        <f t="shared" si="4"/>
        <v>0X0X0</v>
      </c>
      <c r="M20" s="58" t="str">
        <f t="shared" si="5"/>
        <v>0X0X0</v>
      </c>
      <c r="N20" s="4" t="str">
        <f t="shared" si="1"/>
        <v>0X0X0</v>
      </c>
      <c r="O20" s="5">
        <f t="shared" si="6"/>
        <v>0</v>
      </c>
      <c r="P20" s="9"/>
      <c r="Q20" s="9"/>
      <c r="R20" s="13"/>
      <c r="S20" s="13"/>
      <c r="T20" s="13"/>
      <c r="U20" s="5"/>
    </row>
    <row r="21" spans="1:21" ht="20.100000000000001" customHeight="1" x14ac:dyDescent="0.2">
      <c r="A21" s="21"/>
      <c r="B21" s="5"/>
      <c r="C21" s="5"/>
      <c r="D21" s="24"/>
      <c r="E21" s="24"/>
      <c r="F21" s="9"/>
      <c r="G21" s="9"/>
      <c r="H21" s="9">
        <f t="shared" si="2"/>
        <v>0</v>
      </c>
      <c r="I21" s="9">
        <f t="shared" si="3"/>
        <v>0</v>
      </c>
      <c r="J21" s="9" t="str">
        <f t="shared" si="0"/>
        <v>-</v>
      </c>
      <c r="K21" s="52" t="str">
        <f>IFERROR(VLOOKUP(J21,MASTER!C:D,2,0),"")</f>
        <v/>
      </c>
      <c r="L21" s="4" t="str">
        <f t="shared" si="4"/>
        <v>0X0X0</v>
      </c>
      <c r="M21" s="58" t="str">
        <f t="shared" si="5"/>
        <v>0X0X0</v>
      </c>
      <c r="N21" s="4" t="str">
        <f t="shared" si="1"/>
        <v>0X0X0</v>
      </c>
      <c r="O21" s="5">
        <f t="shared" si="6"/>
        <v>0</v>
      </c>
      <c r="P21" s="9"/>
      <c r="Q21" s="9"/>
      <c r="R21" s="13"/>
      <c r="S21" s="13"/>
      <c r="T21" s="13"/>
      <c r="U21" s="5"/>
    </row>
    <row r="22" spans="1:21" ht="20.100000000000001" customHeight="1" x14ac:dyDescent="0.2">
      <c r="A22" s="21"/>
      <c r="B22" s="5"/>
      <c r="C22" s="5"/>
      <c r="D22" s="24"/>
      <c r="E22" s="24"/>
      <c r="F22" s="9"/>
      <c r="G22" s="9"/>
      <c r="H22" s="9">
        <f t="shared" si="2"/>
        <v>0</v>
      </c>
      <c r="I22" s="9">
        <f t="shared" si="3"/>
        <v>0</v>
      </c>
      <c r="J22" s="9" t="str">
        <f t="shared" si="0"/>
        <v>-</v>
      </c>
      <c r="K22" s="52" t="str">
        <f>IFERROR(VLOOKUP(J22,MASTER!C:D,2,0),"")</f>
        <v/>
      </c>
      <c r="L22" s="4" t="str">
        <f t="shared" si="4"/>
        <v>0X0X0</v>
      </c>
      <c r="M22" s="58" t="str">
        <f t="shared" si="5"/>
        <v>0X0X0</v>
      </c>
      <c r="N22" s="4" t="str">
        <f t="shared" si="1"/>
        <v>0X0X0</v>
      </c>
      <c r="O22" s="5">
        <f t="shared" si="6"/>
        <v>0</v>
      </c>
      <c r="P22" s="9"/>
      <c r="Q22" s="9"/>
      <c r="R22" s="13"/>
      <c r="S22" s="13"/>
      <c r="T22" s="13"/>
      <c r="U22" s="5"/>
    </row>
    <row r="23" spans="1:21" ht="20.100000000000001" customHeight="1" x14ac:dyDescent="0.2">
      <c r="A23" s="21"/>
      <c r="B23" s="5"/>
      <c r="C23" s="22"/>
      <c r="D23" s="24"/>
      <c r="E23" s="24"/>
      <c r="F23" s="9"/>
      <c r="G23" s="9"/>
      <c r="H23" s="9">
        <f t="shared" si="2"/>
        <v>0</v>
      </c>
      <c r="I23" s="9">
        <f t="shared" si="3"/>
        <v>0</v>
      </c>
      <c r="J23" s="9" t="str">
        <f t="shared" si="0"/>
        <v>-</v>
      </c>
      <c r="K23" s="52" t="str">
        <f>IFERROR(VLOOKUP(J23,MASTER!C:D,2,0),"")</f>
        <v/>
      </c>
      <c r="L23" s="4" t="str">
        <f t="shared" si="4"/>
        <v>0X0X0</v>
      </c>
      <c r="M23" s="58" t="str">
        <f t="shared" si="5"/>
        <v>0X0X0</v>
      </c>
      <c r="N23" s="4" t="str">
        <f t="shared" si="1"/>
        <v>0X0X0</v>
      </c>
      <c r="O23" s="5">
        <f t="shared" si="6"/>
        <v>0</v>
      </c>
      <c r="P23" s="9"/>
      <c r="Q23" s="9"/>
      <c r="R23" s="13"/>
      <c r="S23" s="13"/>
      <c r="T23" s="13"/>
      <c r="U23" s="5"/>
    </row>
    <row r="24" spans="1:21" ht="20.100000000000001" customHeight="1" x14ac:dyDescent="0.2">
      <c r="A24" s="21"/>
      <c r="B24" s="5"/>
      <c r="C24" s="22"/>
      <c r="D24" s="24"/>
      <c r="E24" s="24"/>
      <c r="F24" s="9"/>
      <c r="G24" s="9"/>
      <c r="H24" s="9">
        <f t="shared" si="2"/>
        <v>0</v>
      </c>
      <c r="I24" s="9">
        <f t="shared" si="3"/>
        <v>0</v>
      </c>
      <c r="J24" s="9" t="str">
        <f t="shared" si="0"/>
        <v>-</v>
      </c>
      <c r="K24" s="52" t="str">
        <f>IFERROR(VLOOKUP(J24,MASTER!C:D,2,0),"")</f>
        <v/>
      </c>
      <c r="L24" s="4" t="str">
        <f t="shared" si="4"/>
        <v>0X0X0</v>
      </c>
      <c r="M24" s="58" t="str">
        <f t="shared" si="5"/>
        <v>0X0X0</v>
      </c>
      <c r="N24" s="4" t="str">
        <f t="shared" si="1"/>
        <v>0X0X0</v>
      </c>
      <c r="O24" s="5">
        <f t="shared" si="6"/>
        <v>0</v>
      </c>
      <c r="P24" s="9"/>
      <c r="Q24" s="9"/>
      <c r="R24" s="13"/>
      <c r="S24" s="13"/>
      <c r="T24" s="13"/>
      <c r="U24" s="5"/>
    </row>
    <row r="25" spans="1:21" ht="20.100000000000001" customHeight="1" x14ac:dyDescent="0.2">
      <c r="A25" s="21"/>
      <c r="B25" s="5"/>
      <c r="C25" s="22"/>
      <c r="D25" s="24"/>
      <c r="E25" s="24"/>
      <c r="F25" s="9"/>
      <c r="G25" s="9"/>
      <c r="H25" s="9">
        <f t="shared" si="2"/>
        <v>0</v>
      </c>
      <c r="I25" s="9">
        <f t="shared" si="3"/>
        <v>0</v>
      </c>
      <c r="J25" s="9" t="str">
        <f t="shared" si="0"/>
        <v>-</v>
      </c>
      <c r="K25" s="52" t="str">
        <f>IFERROR(VLOOKUP(J25,MASTER!C:D,2,0),"")</f>
        <v/>
      </c>
      <c r="L25" s="4" t="str">
        <f t="shared" si="4"/>
        <v>0X0X0</v>
      </c>
      <c r="M25" s="58" t="str">
        <f t="shared" si="5"/>
        <v>0X0X0</v>
      </c>
      <c r="N25" s="4" t="str">
        <f t="shared" si="1"/>
        <v>0X0X0</v>
      </c>
      <c r="O25" s="5">
        <f t="shared" si="6"/>
        <v>0</v>
      </c>
      <c r="P25" s="9"/>
      <c r="Q25" s="9"/>
      <c r="R25" s="13"/>
      <c r="S25" s="13"/>
      <c r="T25" s="13"/>
      <c r="U25" s="5"/>
    </row>
    <row r="26" spans="1:21" ht="20.100000000000001" customHeight="1" x14ac:dyDescent="0.2">
      <c r="A26" s="21"/>
      <c r="B26" s="5"/>
      <c r="C26" s="5"/>
      <c r="D26" s="24"/>
      <c r="E26" s="24"/>
      <c r="F26" s="9"/>
      <c r="G26" s="9"/>
      <c r="H26" s="9">
        <f t="shared" si="2"/>
        <v>0</v>
      </c>
      <c r="I26" s="9">
        <f t="shared" si="3"/>
        <v>0</v>
      </c>
      <c r="J26" s="9" t="str">
        <f t="shared" si="0"/>
        <v>-</v>
      </c>
      <c r="K26" s="52" t="str">
        <f>IFERROR(VLOOKUP(J26,MASTER!C:D,2,0),"")</f>
        <v/>
      </c>
      <c r="L26" s="4" t="str">
        <f t="shared" si="4"/>
        <v>0X0X0</v>
      </c>
      <c r="M26" s="58" t="str">
        <f t="shared" si="5"/>
        <v>0X0X0</v>
      </c>
      <c r="N26" s="4" t="str">
        <f t="shared" si="1"/>
        <v>0X0X0</v>
      </c>
      <c r="O26" s="5">
        <f t="shared" si="6"/>
        <v>0</v>
      </c>
      <c r="P26" s="9"/>
      <c r="Q26" s="9"/>
      <c r="R26" s="13"/>
      <c r="S26" s="13"/>
      <c r="T26" s="13"/>
      <c r="U26" s="5"/>
    </row>
    <row r="27" spans="1:21" ht="20.100000000000001" customHeight="1" x14ac:dyDescent="0.2">
      <c r="A27" s="21"/>
      <c r="B27" s="5"/>
      <c r="C27" s="5"/>
      <c r="D27" s="24"/>
      <c r="E27" s="24"/>
      <c r="F27" s="9"/>
      <c r="G27" s="9"/>
      <c r="H27" s="9">
        <f t="shared" si="2"/>
        <v>0</v>
      </c>
      <c r="I27" s="9">
        <f t="shared" si="3"/>
        <v>0</v>
      </c>
      <c r="J27" s="9" t="str">
        <f t="shared" si="0"/>
        <v>-</v>
      </c>
      <c r="K27" s="52" t="str">
        <f>IFERROR(VLOOKUP(J27,MASTER!C:D,2,0),"")</f>
        <v/>
      </c>
      <c r="L27" s="4" t="str">
        <f t="shared" si="4"/>
        <v>0X0X0</v>
      </c>
      <c r="M27" s="58" t="str">
        <f t="shared" si="5"/>
        <v>0X0X0</v>
      </c>
      <c r="N27" s="4" t="str">
        <f t="shared" si="1"/>
        <v>0X0X0</v>
      </c>
      <c r="O27" s="5">
        <f t="shared" si="6"/>
        <v>0</v>
      </c>
      <c r="P27" s="9"/>
      <c r="Q27" s="9"/>
      <c r="R27" s="13"/>
      <c r="S27" s="13"/>
      <c r="T27" s="13"/>
      <c r="U27" s="5"/>
    </row>
    <row r="28" spans="1:21" ht="20.100000000000001" customHeight="1" x14ac:dyDescent="0.2">
      <c r="A28" s="21"/>
      <c r="B28" s="5"/>
      <c r="C28" s="5"/>
      <c r="D28" s="24"/>
      <c r="E28" s="24"/>
      <c r="F28" s="9"/>
      <c r="G28" s="9"/>
      <c r="H28" s="9">
        <f t="shared" si="2"/>
        <v>0</v>
      </c>
      <c r="I28" s="9">
        <f t="shared" si="3"/>
        <v>0</v>
      </c>
      <c r="J28" s="9" t="str">
        <f t="shared" si="0"/>
        <v>-</v>
      </c>
      <c r="K28" s="52" t="str">
        <f>IFERROR(VLOOKUP(J28,MASTER!C:D,2,0),"")</f>
        <v/>
      </c>
      <c r="L28" s="4" t="str">
        <f t="shared" si="4"/>
        <v>0X0X0</v>
      </c>
      <c r="M28" s="58" t="str">
        <f t="shared" si="5"/>
        <v>0X0X0</v>
      </c>
      <c r="N28" s="4" t="str">
        <f t="shared" si="1"/>
        <v>0X0X0</v>
      </c>
      <c r="O28" s="5">
        <f t="shared" si="6"/>
        <v>0</v>
      </c>
      <c r="P28" s="9"/>
      <c r="Q28" s="9"/>
      <c r="R28" s="13"/>
      <c r="S28" s="13"/>
      <c r="T28" s="13"/>
      <c r="U28" s="5"/>
    </row>
    <row r="29" spans="1:21" ht="20.100000000000001" customHeight="1" x14ac:dyDescent="0.2">
      <c r="A29" s="21"/>
      <c r="B29" s="5"/>
      <c r="C29" s="5"/>
      <c r="D29" s="24"/>
      <c r="E29" s="24"/>
      <c r="F29" s="9"/>
      <c r="G29" s="9"/>
      <c r="H29" s="9">
        <f t="shared" si="2"/>
        <v>0</v>
      </c>
      <c r="I29" s="9">
        <f t="shared" si="3"/>
        <v>0</v>
      </c>
      <c r="J29" s="9" t="str">
        <f t="shared" si="0"/>
        <v>-</v>
      </c>
      <c r="K29" s="52" t="str">
        <f>IFERROR(VLOOKUP(J29,MASTER!C:D,2,0),"")</f>
        <v/>
      </c>
      <c r="L29" s="4" t="str">
        <f t="shared" si="4"/>
        <v>0X0X0</v>
      </c>
      <c r="M29" s="58" t="str">
        <f t="shared" si="5"/>
        <v>0X0X0</v>
      </c>
      <c r="N29" s="4" t="str">
        <f t="shared" si="1"/>
        <v>0X0X0</v>
      </c>
      <c r="O29" s="5">
        <f t="shared" si="6"/>
        <v>0</v>
      </c>
      <c r="P29" s="9"/>
      <c r="Q29" s="9"/>
      <c r="R29" s="13"/>
      <c r="S29" s="13"/>
      <c r="T29" s="13"/>
      <c r="U29" s="5"/>
    </row>
    <row r="30" spans="1:21" ht="20.100000000000001" customHeight="1" x14ac:dyDescent="0.2">
      <c r="A30" s="21"/>
      <c r="B30" s="5"/>
      <c r="C30" s="5"/>
      <c r="D30" s="24"/>
      <c r="E30" s="24"/>
      <c r="F30" s="9"/>
      <c r="G30" s="9"/>
      <c r="H30" s="9">
        <f t="shared" si="2"/>
        <v>0</v>
      </c>
      <c r="I30" s="9">
        <f t="shared" si="3"/>
        <v>0</v>
      </c>
      <c r="J30" s="9" t="str">
        <f t="shared" si="0"/>
        <v>-</v>
      </c>
      <c r="K30" s="52" t="str">
        <f>IFERROR(VLOOKUP(J30,MASTER!C:D,2,0),"")</f>
        <v/>
      </c>
      <c r="L30" s="4" t="str">
        <f t="shared" si="4"/>
        <v>0X0X0</v>
      </c>
      <c r="M30" s="58" t="str">
        <f t="shared" si="5"/>
        <v>0X0X0</v>
      </c>
      <c r="N30" s="4" t="str">
        <f t="shared" si="1"/>
        <v>0X0X0</v>
      </c>
      <c r="O30" s="5">
        <f t="shared" si="6"/>
        <v>0</v>
      </c>
      <c r="P30" s="9"/>
      <c r="Q30" s="9"/>
      <c r="R30" s="13"/>
      <c r="S30" s="13"/>
      <c r="T30" s="13"/>
      <c r="U30" s="5"/>
    </row>
    <row r="31" spans="1:21" ht="20.100000000000001" customHeight="1" x14ac:dyDescent="0.2">
      <c r="A31" s="21"/>
      <c r="B31" s="5"/>
      <c r="C31" s="5"/>
      <c r="D31" s="24"/>
      <c r="E31" s="24"/>
      <c r="F31" s="9"/>
      <c r="G31" s="9"/>
      <c r="H31" s="9">
        <f t="shared" si="2"/>
        <v>0</v>
      </c>
      <c r="I31" s="9">
        <f t="shared" si="3"/>
        <v>0</v>
      </c>
      <c r="J31" s="9" t="str">
        <f t="shared" si="0"/>
        <v>-</v>
      </c>
      <c r="K31" s="52" t="str">
        <f>IFERROR(VLOOKUP(J31,MASTER!C:D,2,0),"")</f>
        <v/>
      </c>
      <c r="L31" s="4" t="str">
        <f t="shared" si="4"/>
        <v>0X0X0</v>
      </c>
      <c r="M31" s="58" t="str">
        <f t="shared" si="5"/>
        <v>0X0X0</v>
      </c>
      <c r="N31" s="4" t="str">
        <f t="shared" si="1"/>
        <v>0X0X0</v>
      </c>
      <c r="O31" s="5">
        <f t="shared" si="6"/>
        <v>0</v>
      </c>
      <c r="P31" s="9"/>
      <c r="Q31" s="9"/>
      <c r="R31" s="13"/>
      <c r="S31" s="13"/>
      <c r="T31" s="13"/>
      <c r="U31" s="5"/>
    </row>
    <row r="32" spans="1:21" ht="20.100000000000001" customHeight="1" x14ac:dyDescent="0.2">
      <c r="A32" s="21"/>
      <c r="B32" s="5"/>
      <c r="C32" s="5"/>
      <c r="D32" s="24"/>
      <c r="E32" s="24"/>
      <c r="F32" s="9"/>
      <c r="G32" s="9"/>
      <c r="H32" s="9">
        <f t="shared" si="2"/>
        <v>0</v>
      </c>
      <c r="I32" s="9">
        <f t="shared" si="3"/>
        <v>0</v>
      </c>
      <c r="J32" s="9" t="str">
        <f t="shared" si="0"/>
        <v>-</v>
      </c>
      <c r="K32" s="52" t="str">
        <f>IFERROR(VLOOKUP(J32,MASTER!C:D,2,0),"")</f>
        <v/>
      </c>
      <c r="L32" s="4" t="str">
        <f t="shared" si="4"/>
        <v>0X0X0</v>
      </c>
      <c r="M32" s="58" t="str">
        <f t="shared" si="5"/>
        <v>0X0X0</v>
      </c>
      <c r="N32" s="4" t="str">
        <f t="shared" si="1"/>
        <v>0X0X0</v>
      </c>
      <c r="O32" s="5">
        <f t="shared" si="6"/>
        <v>0</v>
      </c>
      <c r="P32" s="9"/>
      <c r="Q32" s="9"/>
      <c r="R32" s="13"/>
      <c r="S32" s="13"/>
      <c r="T32" s="13"/>
      <c r="U32" s="5"/>
    </row>
    <row r="33" spans="1:21" ht="20.100000000000001" customHeight="1" x14ac:dyDescent="0.2">
      <c r="A33" s="21"/>
      <c r="B33" s="5"/>
      <c r="C33" s="5"/>
      <c r="D33" s="24"/>
      <c r="E33" s="24"/>
      <c r="F33" s="9"/>
      <c r="G33" s="9"/>
      <c r="H33" s="9">
        <f t="shared" si="2"/>
        <v>0</v>
      </c>
      <c r="I33" s="9">
        <f t="shared" si="3"/>
        <v>0</v>
      </c>
      <c r="J33" s="9" t="str">
        <f t="shared" si="0"/>
        <v>-</v>
      </c>
      <c r="K33" s="52" t="str">
        <f>IFERROR(VLOOKUP(J33,MASTER!C:D,2,0),"")</f>
        <v/>
      </c>
      <c r="L33" s="4" t="str">
        <f t="shared" si="4"/>
        <v>0X0X0</v>
      </c>
      <c r="M33" s="58" t="str">
        <f t="shared" si="5"/>
        <v>0X0X0</v>
      </c>
      <c r="N33" s="4" t="str">
        <f t="shared" si="1"/>
        <v>0X0X0</v>
      </c>
      <c r="O33" s="5">
        <f t="shared" si="6"/>
        <v>0</v>
      </c>
      <c r="P33" s="9"/>
      <c r="Q33" s="9"/>
      <c r="R33" s="13"/>
      <c r="S33" s="13"/>
      <c r="T33" s="13"/>
      <c r="U33" s="5"/>
    </row>
    <row r="34" spans="1:21" ht="20.100000000000001" customHeight="1" x14ac:dyDescent="0.2">
      <c r="A34" s="21"/>
      <c r="B34" s="5"/>
      <c r="C34" s="5"/>
      <c r="D34" s="24"/>
      <c r="E34" s="24"/>
      <c r="F34" s="9"/>
      <c r="G34" s="9"/>
      <c r="H34" s="9">
        <f t="shared" si="2"/>
        <v>0</v>
      </c>
      <c r="I34" s="9">
        <f t="shared" si="3"/>
        <v>0</v>
      </c>
      <c r="J34" s="9" t="str">
        <f t="shared" si="0"/>
        <v>-</v>
      </c>
      <c r="K34" s="52" t="str">
        <f>IFERROR(VLOOKUP(J34,MASTER!C:D,2,0),"")</f>
        <v/>
      </c>
      <c r="L34" s="4" t="str">
        <f t="shared" si="4"/>
        <v>0X0X0</v>
      </c>
      <c r="M34" s="58" t="str">
        <f t="shared" si="5"/>
        <v>0X0X0</v>
      </c>
      <c r="N34" s="4" t="str">
        <f t="shared" si="1"/>
        <v>0X0X0</v>
      </c>
      <c r="O34" s="5">
        <f t="shared" si="6"/>
        <v>0</v>
      </c>
      <c r="P34" s="9"/>
      <c r="Q34" s="9"/>
      <c r="R34" s="13"/>
      <c r="S34" s="13"/>
      <c r="T34" s="13"/>
      <c r="U34" s="5"/>
    </row>
    <row r="35" spans="1:21" ht="20.100000000000001" customHeight="1" x14ac:dyDescent="0.2">
      <c r="A35" s="21"/>
      <c r="B35" s="5"/>
      <c r="C35" s="5"/>
      <c r="D35" s="24"/>
      <c r="E35" s="24"/>
      <c r="F35" s="9"/>
      <c r="G35" s="9"/>
      <c r="H35" s="9">
        <f t="shared" si="2"/>
        <v>0</v>
      </c>
      <c r="I35" s="9">
        <f t="shared" si="3"/>
        <v>0</v>
      </c>
      <c r="J35" s="9" t="str">
        <f t="shared" si="0"/>
        <v>-</v>
      </c>
      <c r="K35" s="52" t="str">
        <f>IFERROR(VLOOKUP(J35,MASTER!C:D,2,0),"")</f>
        <v/>
      </c>
      <c r="L35" s="4" t="str">
        <f t="shared" si="4"/>
        <v>0X0X0</v>
      </c>
      <c r="M35" s="58" t="str">
        <f t="shared" si="5"/>
        <v>0X0X0</v>
      </c>
      <c r="N35" s="4" t="str">
        <f t="shared" si="1"/>
        <v>0X0X0</v>
      </c>
      <c r="O35" s="5">
        <f t="shared" si="6"/>
        <v>0</v>
      </c>
      <c r="P35" s="9"/>
      <c r="Q35" s="9"/>
      <c r="R35" s="13"/>
      <c r="S35" s="13"/>
      <c r="T35" s="13"/>
      <c r="U35" s="5"/>
    </row>
    <row r="36" spans="1:21" ht="20.100000000000001" customHeight="1" x14ac:dyDescent="0.2">
      <c r="A36" s="21"/>
      <c r="B36" s="5"/>
      <c r="C36" s="5"/>
      <c r="D36" s="24"/>
      <c r="E36" s="24"/>
      <c r="F36" s="9"/>
      <c r="G36" s="9"/>
      <c r="H36" s="9">
        <f t="shared" si="2"/>
        <v>0</v>
      </c>
      <c r="I36" s="9">
        <f t="shared" si="3"/>
        <v>0</v>
      </c>
      <c r="J36" s="9" t="str">
        <f t="shared" si="0"/>
        <v>-</v>
      </c>
      <c r="K36" s="52" t="str">
        <f>IFERROR(VLOOKUP(J36,MASTER!C:D,2,0),"")</f>
        <v/>
      </c>
      <c r="L36" s="4" t="str">
        <f t="shared" si="4"/>
        <v>0X0X0</v>
      </c>
      <c r="M36" s="53" t="str">
        <f>K36&amp;L36</f>
        <v>0X0X0</v>
      </c>
      <c r="N36" s="4" t="str">
        <f t="shared" si="1"/>
        <v>0X0X0</v>
      </c>
      <c r="O36" s="5">
        <f t="shared" si="6"/>
        <v>0</v>
      </c>
      <c r="P36" s="9"/>
      <c r="Q36" s="9"/>
      <c r="R36" s="13"/>
      <c r="S36" s="13"/>
      <c r="T36" s="13"/>
      <c r="U36" s="5"/>
    </row>
    <row r="37" spans="1:21" ht="20.100000000000001" customHeight="1" x14ac:dyDescent="0.2">
      <c r="A37" s="21"/>
      <c r="B37" s="5"/>
      <c r="C37" s="5"/>
      <c r="D37" s="24"/>
      <c r="E37" s="24"/>
      <c r="F37" s="9"/>
      <c r="G37" s="9"/>
      <c r="H37" s="9">
        <f t="shared" si="2"/>
        <v>0</v>
      </c>
      <c r="I37" s="9">
        <f t="shared" si="3"/>
        <v>0</v>
      </c>
      <c r="J37" s="9" t="str">
        <f t="shared" ref="J37:J68" si="7">B37&amp;"-"&amp;C37</f>
        <v>-</v>
      </c>
      <c r="K37" s="52" t="str">
        <f>IFERROR(VLOOKUP(J37,MASTER!C:D,2,0),"")</f>
        <v/>
      </c>
      <c r="L37" s="4" t="str">
        <f t="shared" si="4"/>
        <v>0X0X0</v>
      </c>
      <c r="M37" s="58" t="str">
        <f t="shared" si="5"/>
        <v>0X0X0</v>
      </c>
      <c r="N37" s="4" t="str">
        <f t="shared" si="1"/>
        <v>0X0X0</v>
      </c>
      <c r="O37" s="5">
        <f t="shared" si="6"/>
        <v>0</v>
      </c>
      <c r="P37" s="9"/>
      <c r="Q37" s="9"/>
      <c r="R37" s="13"/>
      <c r="S37" s="13"/>
      <c r="T37" s="13"/>
      <c r="U37" s="5"/>
    </row>
    <row r="38" spans="1:21" ht="20.100000000000001" customHeight="1" x14ac:dyDescent="0.2">
      <c r="A38" s="21"/>
      <c r="B38" s="5"/>
      <c r="C38" s="5"/>
      <c r="D38" s="24"/>
      <c r="E38" s="24"/>
      <c r="F38" s="9"/>
      <c r="G38" s="9"/>
      <c r="H38" s="9">
        <f t="shared" si="2"/>
        <v>0</v>
      </c>
      <c r="I38" s="9">
        <f t="shared" si="3"/>
        <v>0</v>
      </c>
      <c r="J38" s="9" t="str">
        <f t="shared" si="7"/>
        <v>-</v>
      </c>
      <c r="K38" s="52" t="str">
        <f>IFERROR(VLOOKUP(J38,MASTER!C:D,2,0),"")</f>
        <v/>
      </c>
      <c r="L38" s="4" t="str">
        <f t="shared" si="4"/>
        <v>0X0X0</v>
      </c>
      <c r="M38" s="58" t="str">
        <f t="shared" si="5"/>
        <v>0X0X0</v>
      </c>
      <c r="N38" s="4" t="str">
        <f t="shared" si="1"/>
        <v>0X0X0</v>
      </c>
      <c r="O38" s="5">
        <f t="shared" si="6"/>
        <v>0</v>
      </c>
      <c r="P38" s="9"/>
      <c r="Q38" s="9"/>
      <c r="R38" s="13"/>
      <c r="S38" s="13"/>
      <c r="T38" s="13"/>
      <c r="U38" s="5"/>
    </row>
    <row r="39" spans="1:21" ht="20.100000000000001" customHeight="1" x14ac:dyDescent="0.2">
      <c r="A39" s="21"/>
      <c r="B39" s="5"/>
      <c r="C39" s="5"/>
      <c r="D39" s="9"/>
      <c r="E39" s="9"/>
      <c r="F39" s="9"/>
      <c r="G39" s="9"/>
      <c r="H39" s="9">
        <f t="shared" si="2"/>
        <v>0</v>
      </c>
      <c r="I39" s="9">
        <f t="shared" si="3"/>
        <v>0</v>
      </c>
      <c r="J39" s="9" t="str">
        <f t="shared" si="7"/>
        <v>-</v>
      </c>
      <c r="K39" s="52" t="str">
        <f>IFERROR(VLOOKUP(J39,MASTER!C:D,2,0),"")</f>
        <v/>
      </c>
      <c r="L39" s="4" t="str">
        <f t="shared" si="4"/>
        <v>0X0X0</v>
      </c>
      <c r="M39" s="58" t="str">
        <f t="shared" ref="M39:M72" si="8">IFERROR((K39&amp;L39),"")</f>
        <v>0X0X0</v>
      </c>
      <c r="N39" s="4" t="str">
        <f t="shared" si="1"/>
        <v>0X0X0</v>
      </c>
      <c r="O39" s="5">
        <f t="shared" si="6"/>
        <v>0</v>
      </c>
      <c r="P39" s="9"/>
      <c r="Q39" s="9"/>
      <c r="R39" s="13"/>
      <c r="S39" s="13"/>
      <c r="T39" s="13"/>
      <c r="U39" s="5"/>
    </row>
    <row r="40" spans="1:21" ht="20.100000000000001" customHeight="1" x14ac:dyDescent="0.2">
      <c r="A40" s="21"/>
      <c r="B40" s="5"/>
      <c r="C40" s="5"/>
      <c r="D40" s="9"/>
      <c r="E40" s="9"/>
      <c r="F40" s="9"/>
      <c r="G40" s="9"/>
      <c r="H40" s="9">
        <f t="shared" si="2"/>
        <v>0</v>
      </c>
      <c r="I40" s="9">
        <f t="shared" si="3"/>
        <v>0</v>
      </c>
      <c r="J40" s="9" t="str">
        <f t="shared" si="7"/>
        <v>-</v>
      </c>
      <c r="K40" s="52" t="str">
        <f>IFERROR(VLOOKUP(J40,MASTER!C:D,2,0),"")</f>
        <v/>
      </c>
      <c r="L40" s="4" t="str">
        <f t="shared" si="4"/>
        <v>0X0X0</v>
      </c>
      <c r="M40" s="58" t="str">
        <f t="shared" si="8"/>
        <v>0X0X0</v>
      </c>
      <c r="N40" s="4" t="str">
        <f t="shared" si="1"/>
        <v>0X0X0</v>
      </c>
      <c r="O40" s="5">
        <f t="shared" si="6"/>
        <v>0</v>
      </c>
      <c r="P40" s="9"/>
      <c r="Q40" s="9"/>
      <c r="R40" s="13"/>
      <c r="S40" s="13"/>
      <c r="T40" s="13"/>
      <c r="U40" s="5"/>
    </row>
    <row r="41" spans="1:21" ht="20.100000000000001" customHeight="1" x14ac:dyDescent="0.2">
      <c r="A41" s="21"/>
      <c r="B41" s="5"/>
      <c r="C41" s="5"/>
      <c r="D41" s="9"/>
      <c r="E41" s="9"/>
      <c r="F41" s="9"/>
      <c r="G41" s="9"/>
      <c r="H41" s="9">
        <f t="shared" si="2"/>
        <v>0</v>
      </c>
      <c r="I41" s="9">
        <f t="shared" si="3"/>
        <v>0</v>
      </c>
      <c r="J41" s="9" t="str">
        <f t="shared" si="7"/>
        <v>-</v>
      </c>
      <c r="K41" s="52" t="str">
        <f>IFERROR(VLOOKUP(J41,MASTER!C:D,2,0),"")</f>
        <v/>
      </c>
      <c r="L41" s="4" t="str">
        <f t="shared" si="4"/>
        <v>0X0X0</v>
      </c>
      <c r="M41" s="58" t="str">
        <f t="shared" si="8"/>
        <v>0X0X0</v>
      </c>
      <c r="N41" s="4" t="str">
        <f t="shared" si="1"/>
        <v>0X0X0</v>
      </c>
      <c r="O41" s="5">
        <f t="shared" si="6"/>
        <v>0</v>
      </c>
      <c r="P41" s="9"/>
      <c r="Q41" s="9"/>
      <c r="R41" s="13"/>
      <c r="S41" s="13"/>
      <c r="T41" s="13"/>
      <c r="U41" s="5"/>
    </row>
    <row r="42" spans="1:21" ht="20.100000000000001" customHeight="1" x14ac:dyDescent="0.2">
      <c r="A42" s="21"/>
      <c r="B42" s="5"/>
      <c r="C42" s="5"/>
      <c r="D42" s="9"/>
      <c r="E42" s="9"/>
      <c r="F42" s="9"/>
      <c r="G42" s="9"/>
      <c r="H42" s="9">
        <f t="shared" si="2"/>
        <v>0</v>
      </c>
      <c r="I42" s="9">
        <f t="shared" si="3"/>
        <v>0</v>
      </c>
      <c r="J42" s="9" t="str">
        <f t="shared" si="7"/>
        <v>-</v>
      </c>
      <c r="K42" s="52" t="str">
        <f>IFERROR(VLOOKUP(J42,MASTER!C:D,2,0),"")</f>
        <v/>
      </c>
      <c r="L42" s="4" t="str">
        <f t="shared" si="4"/>
        <v>0X0X0</v>
      </c>
      <c r="M42" s="58" t="str">
        <f t="shared" si="8"/>
        <v>0X0X0</v>
      </c>
      <c r="N42" s="4" t="str">
        <f t="shared" si="1"/>
        <v>0X0X0</v>
      </c>
      <c r="O42" s="5">
        <f t="shared" si="6"/>
        <v>0</v>
      </c>
      <c r="P42" s="9"/>
      <c r="Q42" s="9"/>
      <c r="R42" s="13"/>
      <c r="S42" s="13"/>
      <c r="T42" s="13"/>
      <c r="U42" s="5"/>
    </row>
    <row r="43" spans="1:21" ht="20.100000000000001" customHeight="1" x14ac:dyDescent="0.2">
      <c r="A43" s="21"/>
      <c r="B43" s="5"/>
      <c r="C43" s="5"/>
      <c r="D43" s="9"/>
      <c r="E43" s="9"/>
      <c r="F43" s="9"/>
      <c r="G43" s="9"/>
      <c r="H43" s="9">
        <f t="shared" si="2"/>
        <v>0</v>
      </c>
      <c r="I43" s="9">
        <f t="shared" si="3"/>
        <v>0</v>
      </c>
      <c r="J43" s="9" t="str">
        <f t="shared" si="7"/>
        <v>-</v>
      </c>
      <c r="K43" s="52" t="str">
        <f>IFERROR(VLOOKUP(J43,MASTER!C:D,2,0),"")</f>
        <v/>
      </c>
      <c r="L43" s="4" t="str">
        <f t="shared" si="4"/>
        <v>0X0X0</v>
      </c>
      <c r="M43" s="58" t="str">
        <f t="shared" si="8"/>
        <v>0X0X0</v>
      </c>
      <c r="N43" s="4" t="str">
        <f t="shared" si="1"/>
        <v>0X0X0</v>
      </c>
      <c r="O43" s="5">
        <f t="shared" si="6"/>
        <v>0</v>
      </c>
      <c r="P43" s="9"/>
      <c r="Q43" s="9"/>
      <c r="R43" s="13"/>
      <c r="S43" s="13"/>
      <c r="T43" s="13"/>
      <c r="U43" s="5"/>
    </row>
    <row r="44" spans="1:21" ht="20.100000000000001" customHeight="1" x14ac:dyDescent="0.2">
      <c r="A44" s="21"/>
      <c r="B44" s="5"/>
      <c r="C44" s="5"/>
      <c r="D44" s="9"/>
      <c r="E44" s="9"/>
      <c r="F44" s="9"/>
      <c r="G44" s="9"/>
      <c r="H44" s="9">
        <f t="shared" si="2"/>
        <v>0</v>
      </c>
      <c r="I44" s="9">
        <f t="shared" si="3"/>
        <v>0</v>
      </c>
      <c r="J44" s="9" t="str">
        <f t="shared" si="7"/>
        <v>-</v>
      </c>
      <c r="K44" s="52" t="str">
        <f>IFERROR(VLOOKUP(J44,MASTER!C:D,2,0),"")</f>
        <v/>
      </c>
      <c r="L44" s="4" t="str">
        <f t="shared" si="4"/>
        <v>0X0X0</v>
      </c>
      <c r="M44" s="58" t="str">
        <f t="shared" si="8"/>
        <v>0X0X0</v>
      </c>
      <c r="N44" s="4" t="str">
        <f t="shared" si="1"/>
        <v>0X0X0</v>
      </c>
      <c r="O44" s="5">
        <f t="shared" si="6"/>
        <v>0</v>
      </c>
      <c r="P44" s="9"/>
      <c r="Q44" s="9"/>
      <c r="R44" s="13"/>
      <c r="S44" s="13"/>
      <c r="T44" s="13"/>
      <c r="U44" s="5"/>
    </row>
    <row r="45" spans="1:21" ht="20.100000000000001" customHeight="1" x14ac:dyDescent="0.2">
      <c r="A45" s="21"/>
      <c r="B45" s="5"/>
      <c r="C45" s="5"/>
      <c r="D45" s="9"/>
      <c r="E45" s="9"/>
      <c r="F45" s="9"/>
      <c r="G45" s="9"/>
      <c r="H45" s="9">
        <f t="shared" si="2"/>
        <v>0</v>
      </c>
      <c r="I45" s="9">
        <f t="shared" si="3"/>
        <v>0</v>
      </c>
      <c r="J45" s="9" t="str">
        <f t="shared" si="7"/>
        <v>-</v>
      </c>
      <c r="K45" s="52" t="str">
        <f>IFERROR(VLOOKUP(J45,MASTER!C:D,2,0),"")</f>
        <v/>
      </c>
      <c r="L45" s="4" t="str">
        <f t="shared" si="4"/>
        <v>0X0X0</v>
      </c>
      <c r="M45" s="58" t="str">
        <f t="shared" si="8"/>
        <v>0X0X0</v>
      </c>
      <c r="N45" s="4" t="str">
        <f t="shared" si="1"/>
        <v>0X0X0</v>
      </c>
      <c r="O45" s="5">
        <f t="shared" si="6"/>
        <v>0</v>
      </c>
      <c r="P45" s="9"/>
      <c r="Q45" s="9"/>
      <c r="R45" s="13"/>
      <c r="S45" s="13"/>
      <c r="T45" s="13"/>
      <c r="U45" s="5"/>
    </row>
    <row r="46" spans="1:21" ht="20.100000000000001" customHeight="1" x14ac:dyDescent="0.2">
      <c r="A46" s="21"/>
      <c r="B46" s="5"/>
      <c r="C46" s="5"/>
      <c r="D46" s="9"/>
      <c r="E46" s="9"/>
      <c r="F46" s="9"/>
      <c r="G46" s="9"/>
      <c r="H46" s="9">
        <f t="shared" si="2"/>
        <v>0</v>
      </c>
      <c r="I46" s="9">
        <f t="shared" si="3"/>
        <v>0</v>
      </c>
      <c r="J46" s="9" t="str">
        <f t="shared" si="7"/>
        <v>-</v>
      </c>
      <c r="K46" s="52" t="str">
        <f>IFERROR(VLOOKUP(J46,MASTER!C:D,2,0),"")</f>
        <v/>
      </c>
      <c r="L46" s="4" t="str">
        <f t="shared" si="4"/>
        <v>0X0X0</v>
      </c>
      <c r="M46" s="58" t="str">
        <f t="shared" si="8"/>
        <v>0X0X0</v>
      </c>
      <c r="N46" s="4" t="str">
        <f t="shared" si="1"/>
        <v>0X0X0</v>
      </c>
      <c r="O46" s="5">
        <f t="shared" si="6"/>
        <v>0</v>
      </c>
      <c r="P46" s="9"/>
      <c r="Q46" s="9"/>
      <c r="R46" s="13"/>
      <c r="S46" s="13"/>
      <c r="T46" s="13"/>
      <c r="U46" s="5"/>
    </row>
    <row r="47" spans="1:21" ht="20.100000000000001" customHeight="1" x14ac:dyDescent="0.2">
      <c r="A47" s="21"/>
      <c r="B47" s="5"/>
      <c r="C47" s="5"/>
      <c r="D47" s="9"/>
      <c r="E47" s="9"/>
      <c r="F47" s="9"/>
      <c r="G47" s="9"/>
      <c r="H47" s="9">
        <f t="shared" si="2"/>
        <v>0</v>
      </c>
      <c r="I47" s="9">
        <f t="shared" si="3"/>
        <v>0</v>
      </c>
      <c r="J47" s="9" t="str">
        <f t="shared" si="7"/>
        <v>-</v>
      </c>
      <c r="K47" s="52" t="str">
        <f>IFERROR(VLOOKUP(J47,MASTER!C:D,2,0),"")</f>
        <v/>
      </c>
      <c r="L47" s="4" t="str">
        <f t="shared" si="4"/>
        <v>0X0X0</v>
      </c>
      <c r="M47" s="58" t="str">
        <f t="shared" si="8"/>
        <v>0X0X0</v>
      </c>
      <c r="N47" s="4" t="str">
        <f t="shared" si="1"/>
        <v>0X0X0</v>
      </c>
      <c r="O47" s="5">
        <f t="shared" si="6"/>
        <v>0</v>
      </c>
      <c r="P47" s="9"/>
      <c r="Q47" s="9"/>
      <c r="R47" s="13"/>
      <c r="S47" s="13"/>
      <c r="T47" s="13"/>
      <c r="U47" s="5"/>
    </row>
    <row r="48" spans="1:21" ht="20.100000000000001" customHeight="1" x14ac:dyDescent="0.2">
      <c r="A48" s="21"/>
      <c r="B48" s="5"/>
      <c r="C48" s="5"/>
      <c r="D48" s="9"/>
      <c r="E48" s="9"/>
      <c r="F48" s="9"/>
      <c r="G48" s="9"/>
      <c r="H48" s="9">
        <f t="shared" si="2"/>
        <v>0</v>
      </c>
      <c r="I48" s="9">
        <f t="shared" si="3"/>
        <v>0</v>
      </c>
      <c r="J48" s="9" t="str">
        <f t="shared" si="7"/>
        <v>-</v>
      </c>
      <c r="K48" s="52" t="str">
        <f>IFERROR(VLOOKUP(J48,MASTER!C:D,2,0),"")</f>
        <v/>
      </c>
      <c r="L48" s="4" t="str">
        <f t="shared" si="4"/>
        <v>0X0X0</v>
      </c>
      <c r="M48" s="58" t="str">
        <f t="shared" si="8"/>
        <v>0X0X0</v>
      </c>
      <c r="N48" s="4" t="str">
        <f t="shared" si="1"/>
        <v>0X0X0</v>
      </c>
      <c r="O48" s="5">
        <f t="shared" si="6"/>
        <v>0</v>
      </c>
      <c r="P48" s="9"/>
      <c r="Q48" s="9"/>
      <c r="R48" s="13"/>
      <c r="S48" s="13"/>
      <c r="T48" s="13"/>
      <c r="U48" s="5"/>
    </row>
    <row r="49" spans="1:21" ht="20.100000000000001" customHeight="1" x14ac:dyDescent="0.2">
      <c r="A49" s="21"/>
      <c r="B49" s="5"/>
      <c r="C49" s="5"/>
      <c r="D49" s="9"/>
      <c r="E49" s="9"/>
      <c r="F49" s="9"/>
      <c r="G49" s="9"/>
      <c r="H49" s="9">
        <f t="shared" si="2"/>
        <v>0</v>
      </c>
      <c r="I49" s="9">
        <f t="shared" si="3"/>
        <v>0</v>
      </c>
      <c r="J49" s="9" t="str">
        <f t="shared" si="7"/>
        <v>-</v>
      </c>
      <c r="K49" s="52" t="str">
        <f>IFERROR(VLOOKUP(J49,MASTER!C:D,2,0),"")</f>
        <v/>
      </c>
      <c r="L49" s="4" t="str">
        <f t="shared" si="4"/>
        <v>0X0X0</v>
      </c>
      <c r="M49" s="58" t="str">
        <f t="shared" si="8"/>
        <v>0X0X0</v>
      </c>
      <c r="N49" s="4" t="str">
        <f t="shared" si="1"/>
        <v>0X0X0</v>
      </c>
      <c r="O49" s="5">
        <f t="shared" si="6"/>
        <v>0</v>
      </c>
      <c r="P49" s="9"/>
      <c r="Q49" s="9"/>
      <c r="R49" s="13"/>
      <c r="S49" s="13"/>
      <c r="T49" s="13"/>
      <c r="U49" s="5"/>
    </row>
    <row r="50" spans="1:21" ht="20.100000000000001" customHeight="1" x14ac:dyDescent="0.2">
      <c r="A50" s="21"/>
      <c r="B50" s="5"/>
      <c r="C50" s="5"/>
      <c r="D50" s="9"/>
      <c r="E50" s="9"/>
      <c r="F50" s="9"/>
      <c r="G50" s="9"/>
      <c r="H50" s="9">
        <f t="shared" si="2"/>
        <v>0</v>
      </c>
      <c r="I50" s="9">
        <f t="shared" si="3"/>
        <v>0</v>
      </c>
      <c r="J50" s="9" t="str">
        <f t="shared" si="7"/>
        <v>-</v>
      </c>
      <c r="K50" s="52" t="str">
        <f>IFERROR(VLOOKUP(J50,MASTER!C:D,2,0),"")</f>
        <v/>
      </c>
      <c r="L50" s="4" t="str">
        <f t="shared" si="4"/>
        <v>0X0X0</v>
      </c>
      <c r="M50" s="58" t="str">
        <f t="shared" si="8"/>
        <v>0X0X0</v>
      </c>
      <c r="N50" s="4" t="str">
        <f t="shared" si="1"/>
        <v>0X0X0</v>
      </c>
      <c r="O50" s="5">
        <f t="shared" si="6"/>
        <v>0</v>
      </c>
      <c r="P50" s="9"/>
      <c r="Q50" s="9"/>
      <c r="R50" s="13"/>
      <c r="S50" s="13"/>
      <c r="T50" s="13"/>
      <c r="U50" s="5"/>
    </row>
    <row r="51" spans="1:21" ht="20.100000000000001" customHeight="1" x14ac:dyDescent="0.2">
      <c r="A51" s="21"/>
      <c r="B51" s="5"/>
      <c r="C51" s="5"/>
      <c r="D51" s="9"/>
      <c r="E51" s="9"/>
      <c r="F51" s="9"/>
      <c r="G51" s="9"/>
      <c r="H51" s="9">
        <f t="shared" si="2"/>
        <v>0</v>
      </c>
      <c r="I51" s="9">
        <f t="shared" si="3"/>
        <v>0</v>
      </c>
      <c r="J51" s="9" t="str">
        <f t="shared" si="7"/>
        <v>-</v>
      </c>
      <c r="K51" s="52" t="str">
        <f>IFERROR(VLOOKUP(J51,MASTER!C:D,2,0),"")</f>
        <v/>
      </c>
      <c r="L51" s="4" t="str">
        <f t="shared" si="4"/>
        <v>0X0X0</v>
      </c>
      <c r="M51" s="58" t="str">
        <f t="shared" si="8"/>
        <v>0X0X0</v>
      </c>
      <c r="N51" s="4" t="str">
        <f t="shared" si="1"/>
        <v>0X0X0</v>
      </c>
      <c r="O51" s="5">
        <f t="shared" si="6"/>
        <v>0</v>
      </c>
      <c r="P51" s="9"/>
      <c r="Q51" s="9"/>
      <c r="R51" s="13"/>
      <c r="S51" s="13"/>
      <c r="T51" s="13"/>
      <c r="U51" s="5"/>
    </row>
    <row r="52" spans="1:21" ht="20.100000000000001" customHeight="1" x14ac:dyDescent="0.2">
      <c r="A52" s="21"/>
      <c r="B52" s="5"/>
      <c r="C52" s="5"/>
      <c r="D52" s="9"/>
      <c r="E52" s="9"/>
      <c r="F52" s="9"/>
      <c r="G52" s="9"/>
      <c r="H52" s="9">
        <f t="shared" si="2"/>
        <v>0</v>
      </c>
      <c r="I52" s="9">
        <f t="shared" si="3"/>
        <v>0</v>
      </c>
      <c r="J52" s="9" t="str">
        <f t="shared" si="7"/>
        <v>-</v>
      </c>
      <c r="K52" s="52" t="str">
        <f>IFERROR(VLOOKUP(J52,MASTER!C:D,2,0),"")</f>
        <v/>
      </c>
      <c r="L52" s="4" t="str">
        <f t="shared" si="4"/>
        <v>0X0X0</v>
      </c>
      <c r="M52" s="58" t="str">
        <f t="shared" si="8"/>
        <v>0X0X0</v>
      </c>
      <c r="N52" s="4" t="str">
        <f t="shared" si="1"/>
        <v>0X0X0</v>
      </c>
      <c r="O52" s="5">
        <f t="shared" si="6"/>
        <v>0</v>
      </c>
      <c r="P52" s="9"/>
      <c r="Q52" s="9"/>
      <c r="R52" s="13"/>
      <c r="S52" s="13"/>
      <c r="T52" s="13"/>
      <c r="U52" s="5"/>
    </row>
    <row r="53" spans="1:21" ht="20.100000000000001" customHeight="1" x14ac:dyDescent="0.2">
      <c r="A53" s="21"/>
      <c r="B53" s="5"/>
      <c r="C53" s="5"/>
      <c r="D53" s="9"/>
      <c r="E53" s="9"/>
      <c r="F53" s="9"/>
      <c r="G53" s="9"/>
      <c r="H53" s="9">
        <f t="shared" si="2"/>
        <v>0</v>
      </c>
      <c r="I53" s="9">
        <f t="shared" si="3"/>
        <v>0</v>
      </c>
      <c r="J53" s="9" t="str">
        <f t="shared" si="7"/>
        <v>-</v>
      </c>
      <c r="K53" s="52" t="str">
        <f>IFERROR(VLOOKUP(J53,MASTER!C:D,2,0),"")</f>
        <v/>
      </c>
      <c r="L53" s="4" t="str">
        <f t="shared" si="4"/>
        <v>0X0X0</v>
      </c>
      <c r="M53" s="58" t="str">
        <f t="shared" si="8"/>
        <v>0X0X0</v>
      </c>
      <c r="N53" s="4" t="str">
        <f t="shared" si="1"/>
        <v>0X0X0</v>
      </c>
      <c r="O53" s="5">
        <f t="shared" si="6"/>
        <v>0</v>
      </c>
      <c r="P53" s="9"/>
      <c r="Q53" s="9"/>
      <c r="R53" s="13"/>
      <c r="S53" s="13"/>
      <c r="T53" s="13"/>
      <c r="U53" s="5"/>
    </row>
    <row r="54" spans="1:21" ht="20.100000000000001" customHeight="1" x14ac:dyDescent="0.2">
      <c r="A54" s="21"/>
      <c r="B54" s="5"/>
      <c r="C54" s="5"/>
      <c r="D54" s="9"/>
      <c r="E54" s="9"/>
      <c r="F54" s="9"/>
      <c r="G54" s="9"/>
      <c r="H54" s="9">
        <f t="shared" si="2"/>
        <v>0</v>
      </c>
      <c r="I54" s="9">
        <f t="shared" si="3"/>
        <v>0</v>
      </c>
      <c r="J54" s="9" t="str">
        <f t="shared" si="7"/>
        <v>-</v>
      </c>
      <c r="K54" s="52" t="str">
        <f>IFERROR(VLOOKUP(J54,MASTER!C:D,2,0),"")</f>
        <v/>
      </c>
      <c r="L54" s="4" t="str">
        <f t="shared" si="4"/>
        <v>0X0X0</v>
      </c>
      <c r="M54" s="58" t="str">
        <f t="shared" si="8"/>
        <v>0X0X0</v>
      </c>
      <c r="N54" s="4" t="str">
        <f t="shared" si="1"/>
        <v>0X0X0</v>
      </c>
      <c r="O54" s="5">
        <f t="shared" si="6"/>
        <v>0</v>
      </c>
      <c r="P54" s="9"/>
      <c r="Q54" s="9"/>
      <c r="R54" s="13"/>
      <c r="S54" s="13"/>
      <c r="T54" s="13"/>
      <c r="U54" s="5"/>
    </row>
    <row r="55" spans="1:21" ht="20.100000000000001" customHeight="1" x14ac:dyDescent="0.2">
      <c r="A55" s="21"/>
      <c r="B55" s="5" t="s">
        <v>390</v>
      </c>
      <c r="C55" s="5" t="s">
        <v>276</v>
      </c>
      <c r="D55" s="9">
        <v>75</v>
      </c>
      <c r="E55" s="9">
        <v>60</v>
      </c>
      <c r="F55" s="9">
        <v>3</v>
      </c>
      <c r="G55" s="9">
        <v>20</v>
      </c>
      <c r="H55" s="9">
        <f t="shared" si="2"/>
        <v>75</v>
      </c>
      <c r="I55" s="9">
        <f t="shared" si="3"/>
        <v>60</v>
      </c>
      <c r="J55" s="9" t="str">
        <f t="shared" si="7"/>
        <v>INS-BL</v>
      </c>
      <c r="K55" s="52" t="str">
        <f>IFERROR(VLOOKUP(J55,MASTER!C:D,2,0),"")</f>
        <v>SFG-INSRBBL-MEM-BOR-</v>
      </c>
      <c r="L55" s="4" t="str">
        <f t="shared" si="4"/>
        <v>75X60X03</v>
      </c>
      <c r="M55" s="58" t="str">
        <f t="shared" si="8"/>
        <v>SFG-INSRBBL-MEM-BOR-75X60X03</v>
      </c>
      <c r="N55" s="4" t="str">
        <f t="shared" si="1"/>
        <v>SFG-INSRBBL-MEM-BOR-75X60X03</v>
      </c>
      <c r="O55" s="5">
        <f t="shared" si="6"/>
        <v>20</v>
      </c>
      <c r="P55" s="9"/>
      <c r="Q55" s="9"/>
      <c r="R55" s="13"/>
      <c r="S55" s="13"/>
      <c r="T55" s="13"/>
      <c r="U55" s="5"/>
    </row>
    <row r="56" spans="1:21" ht="20.100000000000001" customHeight="1" x14ac:dyDescent="0.2">
      <c r="A56" s="21"/>
      <c r="B56" s="5"/>
      <c r="C56" s="5"/>
      <c r="D56" s="9"/>
      <c r="E56" s="9"/>
      <c r="F56" s="9"/>
      <c r="G56" s="9"/>
      <c r="H56" s="9">
        <f t="shared" si="2"/>
        <v>0</v>
      </c>
      <c r="I56" s="9">
        <f t="shared" si="3"/>
        <v>0</v>
      </c>
      <c r="J56" s="9" t="str">
        <f t="shared" si="7"/>
        <v>-</v>
      </c>
      <c r="K56" s="52" t="str">
        <f>IFERROR(VLOOKUP(J56,MASTER!C:D,2,0),"")</f>
        <v/>
      </c>
      <c r="L56" s="4" t="str">
        <f t="shared" si="4"/>
        <v>0X0X0</v>
      </c>
      <c r="M56" s="58" t="str">
        <f t="shared" si="8"/>
        <v>0X0X0</v>
      </c>
      <c r="N56" s="4" t="str">
        <f t="shared" si="1"/>
        <v>0X0X0</v>
      </c>
      <c r="O56" s="5">
        <f t="shared" si="6"/>
        <v>0</v>
      </c>
      <c r="P56" s="9"/>
      <c r="Q56" s="9"/>
      <c r="R56" s="13"/>
      <c r="S56" s="13"/>
      <c r="T56" s="13"/>
      <c r="U56" s="5"/>
    </row>
    <row r="57" spans="1:21" ht="20.100000000000001" customHeight="1" x14ac:dyDescent="0.2">
      <c r="A57" s="21"/>
      <c r="B57" s="5"/>
      <c r="C57" s="5"/>
      <c r="D57" s="9"/>
      <c r="E57" s="9"/>
      <c r="F57" s="9"/>
      <c r="G57" s="9"/>
      <c r="H57" s="9">
        <f t="shared" si="2"/>
        <v>0</v>
      </c>
      <c r="I57" s="9">
        <f t="shared" si="3"/>
        <v>0</v>
      </c>
      <c r="J57" s="9" t="str">
        <f t="shared" si="7"/>
        <v>-</v>
      </c>
      <c r="K57" s="52" t="str">
        <f>IFERROR(VLOOKUP(J57,MASTER!C:D,2,0),"")</f>
        <v/>
      </c>
      <c r="L57" s="4" t="str">
        <f t="shared" si="4"/>
        <v>0X0X0</v>
      </c>
      <c r="M57" s="58" t="str">
        <f t="shared" si="8"/>
        <v>0X0X0</v>
      </c>
      <c r="N57" s="4" t="str">
        <f t="shared" si="1"/>
        <v>0X0X0</v>
      </c>
      <c r="O57" s="5">
        <f t="shared" si="6"/>
        <v>0</v>
      </c>
      <c r="P57" s="9"/>
      <c r="Q57" s="9"/>
      <c r="R57" s="13"/>
      <c r="S57" s="13"/>
      <c r="T57" s="13"/>
      <c r="U57" s="5"/>
    </row>
    <row r="58" spans="1:21" ht="20.100000000000001" customHeight="1" x14ac:dyDescent="0.2">
      <c r="A58" s="21"/>
      <c r="B58" s="5"/>
      <c r="C58" s="5"/>
      <c r="D58" s="9"/>
      <c r="E58" s="9"/>
      <c r="F58" s="9"/>
      <c r="G58" s="9"/>
      <c r="H58" s="9">
        <f t="shared" si="2"/>
        <v>0</v>
      </c>
      <c r="I58" s="9">
        <f t="shared" si="3"/>
        <v>0</v>
      </c>
      <c r="J58" s="9" t="str">
        <f t="shared" si="7"/>
        <v>-</v>
      </c>
      <c r="K58" s="52" t="str">
        <f>IFERROR(VLOOKUP(J58,MASTER!C:D,2,0),"")</f>
        <v/>
      </c>
      <c r="L58" s="4" t="str">
        <f t="shared" si="4"/>
        <v>0X0X0</v>
      </c>
      <c r="M58" s="58" t="str">
        <f t="shared" si="8"/>
        <v>0X0X0</v>
      </c>
      <c r="N58" s="4" t="str">
        <f t="shared" si="1"/>
        <v>0X0X0</v>
      </c>
      <c r="O58" s="5">
        <f t="shared" si="6"/>
        <v>0</v>
      </c>
      <c r="P58" s="9"/>
      <c r="Q58" s="9"/>
      <c r="R58" s="13"/>
      <c r="S58" s="13"/>
      <c r="T58" s="13"/>
      <c r="U58" s="5"/>
    </row>
    <row r="59" spans="1:21" ht="20.100000000000001" customHeight="1" x14ac:dyDescent="0.2">
      <c r="A59" s="21"/>
      <c r="B59" s="5"/>
      <c r="C59" s="5"/>
      <c r="D59" s="9"/>
      <c r="E59" s="9"/>
      <c r="F59" s="9"/>
      <c r="G59" s="9"/>
      <c r="H59" s="9">
        <f t="shared" si="2"/>
        <v>0</v>
      </c>
      <c r="I59" s="9">
        <f t="shared" si="3"/>
        <v>0</v>
      </c>
      <c r="J59" s="9" t="str">
        <f t="shared" si="7"/>
        <v>-</v>
      </c>
      <c r="K59" s="52" t="str">
        <f>IFERROR(VLOOKUP(J59,MASTER!C:D,2,0),"")</f>
        <v/>
      </c>
      <c r="L59" s="4" t="str">
        <f t="shared" si="4"/>
        <v>0X0X0</v>
      </c>
      <c r="M59" s="58" t="str">
        <f t="shared" si="8"/>
        <v>0X0X0</v>
      </c>
      <c r="N59" s="4" t="str">
        <f t="shared" si="1"/>
        <v>0X0X0</v>
      </c>
      <c r="O59" s="5">
        <f t="shared" si="6"/>
        <v>0</v>
      </c>
      <c r="P59" s="9"/>
      <c r="Q59" s="9"/>
      <c r="R59" s="13"/>
      <c r="S59" s="13"/>
      <c r="T59" s="13"/>
      <c r="U59" s="5"/>
    </row>
    <row r="60" spans="1:21" ht="20.100000000000001" customHeight="1" x14ac:dyDescent="0.2">
      <c r="A60" s="21"/>
      <c r="B60" s="5"/>
      <c r="C60" s="5"/>
      <c r="D60" s="9"/>
      <c r="E60" s="9"/>
      <c r="F60" s="9"/>
      <c r="G60" s="9"/>
      <c r="H60" s="9">
        <f t="shared" si="2"/>
        <v>0</v>
      </c>
      <c r="I60" s="9">
        <f t="shared" si="3"/>
        <v>0</v>
      </c>
      <c r="J60" s="9" t="str">
        <f t="shared" si="7"/>
        <v>-</v>
      </c>
      <c r="K60" s="52" t="str">
        <f>IFERROR(VLOOKUP(J60,MASTER!C:D,2,0),"")</f>
        <v/>
      </c>
      <c r="L60" s="4" t="str">
        <f t="shared" si="4"/>
        <v>0X0X0</v>
      </c>
      <c r="M60" s="58" t="str">
        <f t="shared" si="8"/>
        <v>0X0X0</v>
      </c>
      <c r="N60" s="4" t="str">
        <f t="shared" si="1"/>
        <v>0X0X0</v>
      </c>
      <c r="O60" s="5">
        <f t="shared" si="6"/>
        <v>0</v>
      </c>
      <c r="P60" s="9"/>
      <c r="Q60" s="9"/>
      <c r="R60" s="13"/>
      <c r="S60" s="13"/>
      <c r="T60" s="13"/>
      <c r="U60" s="5"/>
    </row>
    <row r="61" spans="1:21" ht="20.100000000000001" customHeight="1" x14ac:dyDescent="0.2">
      <c r="A61" s="21"/>
      <c r="B61" s="5"/>
      <c r="C61" s="5"/>
      <c r="D61" s="9"/>
      <c r="E61" s="9"/>
      <c r="F61" s="9"/>
      <c r="G61" s="9"/>
      <c r="H61" s="9">
        <f t="shared" si="2"/>
        <v>0</v>
      </c>
      <c r="I61" s="9">
        <f t="shared" si="3"/>
        <v>0</v>
      </c>
      <c r="J61" s="9" t="str">
        <f t="shared" si="7"/>
        <v>-</v>
      </c>
      <c r="K61" s="52" t="str">
        <f>IFERROR(VLOOKUP(J61,MASTER!C:D,2,0),"")</f>
        <v/>
      </c>
      <c r="L61" s="4" t="str">
        <f t="shared" si="4"/>
        <v>0X0X0</v>
      </c>
      <c r="M61" s="58" t="str">
        <f t="shared" si="8"/>
        <v>0X0X0</v>
      </c>
      <c r="N61" s="4" t="str">
        <f t="shared" si="1"/>
        <v>0X0X0</v>
      </c>
      <c r="O61" s="5">
        <f t="shared" si="6"/>
        <v>0</v>
      </c>
      <c r="P61" s="9"/>
      <c r="Q61" s="9"/>
      <c r="R61" s="13"/>
      <c r="S61" s="13"/>
      <c r="T61" s="13"/>
      <c r="U61" s="5"/>
    </row>
    <row r="62" spans="1:21" ht="20.100000000000001" customHeight="1" x14ac:dyDescent="0.2">
      <c r="A62" s="21"/>
      <c r="B62" s="5"/>
      <c r="C62" s="5"/>
      <c r="D62" s="9"/>
      <c r="E62" s="9"/>
      <c r="F62" s="9"/>
      <c r="G62" s="9"/>
      <c r="H62" s="9">
        <f t="shared" si="2"/>
        <v>0</v>
      </c>
      <c r="I62" s="9">
        <f t="shared" si="3"/>
        <v>0</v>
      </c>
      <c r="J62" s="9" t="str">
        <f t="shared" si="7"/>
        <v>-</v>
      </c>
      <c r="K62" s="52" t="str">
        <f>IFERROR(VLOOKUP(J62,MASTER!C:D,2,0),"")</f>
        <v/>
      </c>
      <c r="L62" s="4" t="str">
        <f t="shared" si="4"/>
        <v>0X0X0</v>
      </c>
      <c r="M62" s="58" t="str">
        <f t="shared" si="8"/>
        <v>0X0X0</v>
      </c>
      <c r="N62" s="4" t="str">
        <f t="shared" si="1"/>
        <v>0X0X0</v>
      </c>
      <c r="O62" s="5">
        <f t="shared" si="6"/>
        <v>0</v>
      </c>
      <c r="P62" s="9"/>
      <c r="Q62" s="9"/>
      <c r="R62" s="13"/>
      <c r="S62" s="13"/>
      <c r="T62" s="13"/>
      <c r="U62" s="5"/>
    </row>
    <row r="63" spans="1:21" ht="20.100000000000001" customHeight="1" x14ac:dyDescent="0.2">
      <c r="A63" s="21"/>
      <c r="B63" s="5"/>
      <c r="C63" s="5"/>
      <c r="D63" s="9"/>
      <c r="E63" s="9"/>
      <c r="F63" s="9"/>
      <c r="G63" s="9"/>
      <c r="H63" s="9">
        <f t="shared" ref="H63:H92" si="9">IF(D63="",0,IF(VALUE(D63)&gt;VALUE(E63),IF(OR(VALUE(D63)=13,VALUE(D63)=20,VALUE(D63)=72,VALUE(D63)=75,VALUE(D63)=78,VALUE(D63)=80,VALUE(D63)=84),D63,IF(VALUE(D63)&lt;72,72,IF(VALUE(D63)&lt;75,75,IF(VALUE(D63)&lt;78,78,IF(VALUE(D63)&lt;80,80,IF(VALUE(D63)&lt;84,84,IF(VALUE(D63)&gt;84,84,""""))))))),IF(OR(VALUE(D63)=13,VALUE(D63)=20,VALUE(D63)=30,VALUE(D63)=33,VALUE(D63)=36,VALUE(D63)=39,VALUE(D63)=42,VALUE(D63)=45,VALUE(D63)=48,VALUE(D63)=51,VALUE(D63)=54,VALUE(D63)=57,VALUE(D63)=60,VALUE(D63)=63,VALUE(D63)=66,VALUE(D63)=69,VALUE(D63)=72),D63,IF(VALUE(D63)&lt;30,30,IF(VALUE(D63)&lt;33,33,IF(VALUE(D63)&lt;36,36,IF(VALUE(D63)&lt;39,39,IF(VALUE(D63)&lt;42,42,IF(VALUE(D63)&lt;45,45,IF(VALUE(D63)&lt;48,48,IF(VALUE(D63)&lt;51,51,IF(VALUE(D63)&lt;54,54,IF(VALUE(D63)&lt;57,57,IF(VALUE(D63)&lt;60,60,IF(VALUE(D63)&lt;63,63,IF(VALUE(D63)&lt;66,66,IF(VALUE(D63)&lt;69,69,IF(VALUE(D63)&lt;72,72,IF(VALUE(D63)&gt;72,72,"""")))))))))))))))))))</f>
        <v>0</v>
      </c>
      <c r="I63" s="9">
        <f t="shared" ref="I63:I92" si="10">IF(E63="",0,IF(VALUE(D63)&gt;VALUE(E63),IF(OR(VALUE(E63)=13,VALUE(E63)=18,VALUE(E63)=30,VALUE(E63)=33,VALUE(E63)=36,VALUE(E63)=39,VALUE(E63)=42,VALUE(E63)=45,VALUE(E63)=48,VALUE(E63)=51,VALUE(E63)=54,VALUE(E63)=57,VALUE(E63)=60,VALUE(E63)=63,VALUE(E63)=66,VALUE(E63)=69,VALUE(E63)=72),E63,IF(VALUE(E63)&lt;30,30,IF(VALUE(E63)&lt;33,33,IF(VALUE(E63)&lt;36,36,IF(VALUE(E63)&lt;39,39,IF(VALUE(E63)&lt;42,42,IF(VALUE(E63)&lt;45,45,IF(VALUE(E63)&lt;48,48,IF(VALUE(E63)&lt;51,51,IF(VALUE(E63)&lt;54,54,IF(VALUE(E63)&lt;57,57,IF(VALUE(E63)&lt;60,60,IF(VALUE(E63)&lt;63,63,IF(VALUE(E63)&lt;66,66,IF(VALUE(E63)&lt;69,69,IF(VALUE(E63)&lt;72,72,IF(VALUE(E63)&gt;72,72,""""))))))))))))))))),IF(OR(VALUE(E63)=13,VALUE(E63)=18,VALUE(E63)=72,VALUE(E63)=75,VALUE(E63)=78,VALUE(E63)=80,VALUE(E63)=84),E63,IF(VALUE(E63)&lt;72,72,IF(VALUE(E63)&lt;75,75,IF(VALUE(E63)&lt;78,78,IF(VALUE(E63)&lt;80,80,IF(VALUE(E63)&lt;84,84,IF(VALUE(E63)&gt;84,84,"""")))))))))</f>
        <v>0</v>
      </c>
      <c r="J63" s="9" t="str">
        <f t="shared" si="7"/>
        <v>-</v>
      </c>
      <c r="K63" s="52" t="str">
        <f>IFERROR(VLOOKUP(J63,MASTER!C:D,2,0),"")</f>
        <v/>
      </c>
      <c r="L63" s="4" t="str">
        <f t="shared" si="4"/>
        <v>0X0X0</v>
      </c>
      <c r="M63" s="58" t="str">
        <f t="shared" si="8"/>
        <v>0X0X0</v>
      </c>
      <c r="N63" s="4" t="str">
        <f t="shared" si="1"/>
        <v>0X0X0</v>
      </c>
      <c r="O63" s="5">
        <f t="shared" si="6"/>
        <v>0</v>
      </c>
      <c r="P63" s="9"/>
      <c r="Q63" s="9"/>
      <c r="R63" s="13"/>
      <c r="S63" s="13"/>
      <c r="T63" s="13"/>
      <c r="U63" s="5"/>
    </row>
    <row r="64" spans="1:21" ht="20.100000000000001" customHeight="1" x14ac:dyDescent="0.2">
      <c r="A64" s="21"/>
      <c r="B64" s="5"/>
      <c r="C64" s="5"/>
      <c r="D64" s="9"/>
      <c r="E64" s="9"/>
      <c r="F64" s="9"/>
      <c r="G64" s="9"/>
      <c r="H64" s="9">
        <f t="shared" si="9"/>
        <v>0</v>
      </c>
      <c r="I64" s="9">
        <f t="shared" si="10"/>
        <v>0</v>
      </c>
      <c r="J64" s="9" t="str">
        <f t="shared" si="7"/>
        <v>-</v>
      </c>
      <c r="K64" s="52" t="str">
        <f>IFERROR(VLOOKUP(J64,MASTER!C:D,2,0),"")</f>
        <v/>
      </c>
      <c r="L64" s="4" t="str">
        <f t="shared" si="4"/>
        <v>0X0X0</v>
      </c>
      <c r="M64" s="58" t="str">
        <f t="shared" si="8"/>
        <v>0X0X0</v>
      </c>
      <c r="N64" s="4" t="str">
        <f t="shared" si="1"/>
        <v>0X0X0</v>
      </c>
      <c r="O64" s="5">
        <f t="shared" si="6"/>
        <v>0</v>
      </c>
      <c r="P64" s="9"/>
      <c r="Q64" s="9"/>
      <c r="R64" s="13"/>
      <c r="S64" s="13"/>
      <c r="T64" s="13"/>
      <c r="U64" s="5"/>
    </row>
    <row r="65" spans="1:21" ht="20.100000000000001" customHeight="1" x14ac:dyDescent="0.2">
      <c r="A65" s="21"/>
      <c r="B65" s="5"/>
      <c r="C65" s="5"/>
      <c r="D65" s="9"/>
      <c r="E65" s="9"/>
      <c r="F65" s="9"/>
      <c r="G65" s="9"/>
      <c r="H65" s="9">
        <f t="shared" si="9"/>
        <v>0</v>
      </c>
      <c r="I65" s="9">
        <f t="shared" si="10"/>
        <v>0</v>
      </c>
      <c r="J65" s="9" t="str">
        <f t="shared" si="7"/>
        <v>-</v>
      </c>
      <c r="K65" s="52" t="str">
        <f>IFERROR(VLOOKUP(J65,MASTER!C:D,2,0),"")</f>
        <v/>
      </c>
      <c r="L65" s="4" t="str">
        <f t="shared" si="4"/>
        <v>0X0X0</v>
      </c>
      <c r="M65" s="58" t="str">
        <f t="shared" si="8"/>
        <v>0X0X0</v>
      </c>
      <c r="N65" s="4" t="str">
        <f t="shared" si="1"/>
        <v>0X0X0</v>
      </c>
      <c r="O65" s="5">
        <f t="shared" si="6"/>
        <v>0</v>
      </c>
      <c r="P65" s="9"/>
      <c r="Q65" s="9"/>
      <c r="R65" s="13"/>
      <c r="S65" s="13"/>
      <c r="T65" s="13"/>
      <c r="U65" s="5"/>
    </row>
    <row r="66" spans="1:21" ht="20.100000000000001" customHeight="1" x14ac:dyDescent="0.2">
      <c r="A66" s="21"/>
      <c r="B66" s="5"/>
      <c r="C66" s="5"/>
      <c r="D66" s="9"/>
      <c r="E66" s="9"/>
      <c r="F66" s="9"/>
      <c r="G66" s="9"/>
      <c r="H66" s="9">
        <f t="shared" si="9"/>
        <v>0</v>
      </c>
      <c r="I66" s="9">
        <f t="shared" si="10"/>
        <v>0</v>
      </c>
      <c r="J66" s="9" t="str">
        <f t="shared" si="7"/>
        <v>-</v>
      </c>
      <c r="K66" s="52" t="str">
        <f>IFERROR(VLOOKUP(J66,MASTER!C:D,2,0),"")</f>
        <v/>
      </c>
      <c r="L66" s="4" t="str">
        <f t="shared" si="4"/>
        <v>0X0X0</v>
      </c>
      <c r="M66" s="58" t="str">
        <f t="shared" si="8"/>
        <v>0X0X0</v>
      </c>
      <c r="N66" s="4" t="str">
        <f t="shared" si="1"/>
        <v>0X0X0</v>
      </c>
      <c r="O66" s="5">
        <f t="shared" si="6"/>
        <v>0</v>
      </c>
      <c r="P66" s="9"/>
      <c r="Q66" s="9"/>
      <c r="R66" s="13"/>
      <c r="S66" s="13"/>
      <c r="T66" s="13"/>
      <c r="U66" s="5"/>
    </row>
    <row r="67" spans="1:21" ht="20.100000000000001" customHeight="1" x14ac:dyDescent="0.2">
      <c r="A67" s="21"/>
      <c r="B67" s="5"/>
      <c r="C67" s="5"/>
      <c r="D67" s="9"/>
      <c r="E67" s="9"/>
      <c r="F67" s="9"/>
      <c r="G67" s="9"/>
      <c r="H67" s="9">
        <f t="shared" si="9"/>
        <v>0</v>
      </c>
      <c r="I67" s="9">
        <f t="shared" si="10"/>
        <v>0</v>
      </c>
      <c r="J67" s="9" t="str">
        <f t="shared" si="7"/>
        <v>-</v>
      </c>
      <c r="K67" s="52" t="str">
        <f>IFERROR(VLOOKUP(J67,MASTER!C:D,2,0),"")</f>
        <v/>
      </c>
      <c r="L67" s="4" t="str">
        <f t="shared" si="4"/>
        <v>0X0X0</v>
      </c>
      <c r="M67" s="58" t="str">
        <f t="shared" si="8"/>
        <v>0X0X0</v>
      </c>
      <c r="N67" s="4" t="str">
        <f t="shared" si="1"/>
        <v>0X0X0</v>
      </c>
      <c r="O67" s="5">
        <f t="shared" si="6"/>
        <v>0</v>
      </c>
      <c r="P67" s="9"/>
      <c r="Q67" s="9"/>
      <c r="R67" s="13"/>
      <c r="S67" s="13"/>
      <c r="T67" s="13"/>
      <c r="U67" s="5"/>
    </row>
    <row r="68" spans="1:21" ht="20.100000000000001" customHeight="1" x14ac:dyDescent="0.2">
      <c r="A68" s="21"/>
      <c r="B68" s="5"/>
      <c r="C68" s="5"/>
      <c r="D68" s="9"/>
      <c r="E68" s="9"/>
      <c r="F68" s="9"/>
      <c r="G68" s="9"/>
      <c r="H68" s="9">
        <f t="shared" si="9"/>
        <v>0</v>
      </c>
      <c r="I68" s="9">
        <f t="shared" si="10"/>
        <v>0</v>
      </c>
      <c r="J68" s="9" t="str">
        <f t="shared" si="7"/>
        <v>-</v>
      </c>
      <c r="K68" s="52" t="str">
        <f>IFERROR(VLOOKUP(J68,MASTER!C:D,2,0),"")</f>
        <v/>
      </c>
      <c r="L68" s="4" t="str">
        <f t="shared" si="4"/>
        <v>0X0X0</v>
      </c>
      <c r="M68" s="58" t="str">
        <f t="shared" si="8"/>
        <v>0X0X0</v>
      </c>
      <c r="N68" s="4" t="str">
        <f t="shared" si="1"/>
        <v>0X0X0</v>
      </c>
      <c r="O68" s="5">
        <f t="shared" si="6"/>
        <v>0</v>
      </c>
      <c r="P68" s="9"/>
      <c r="Q68" s="9"/>
      <c r="R68" s="13"/>
      <c r="S68" s="13"/>
      <c r="T68" s="13"/>
      <c r="U68" s="5"/>
    </row>
    <row r="69" spans="1:21" ht="20.100000000000001" customHeight="1" x14ac:dyDescent="0.2">
      <c r="A69" s="21"/>
      <c r="B69" s="5"/>
      <c r="C69" s="5"/>
      <c r="D69" s="9"/>
      <c r="E69" s="9"/>
      <c r="F69" s="9"/>
      <c r="G69" s="9"/>
      <c r="H69" s="9">
        <f t="shared" si="9"/>
        <v>0</v>
      </c>
      <c r="I69" s="9">
        <f t="shared" si="10"/>
        <v>0</v>
      </c>
      <c r="J69" s="9" t="str">
        <f t="shared" ref="J69:J100" si="11">B69&amp;"-"&amp;C69</f>
        <v>-</v>
      </c>
      <c r="K69" s="52" t="str">
        <f>IFERROR(VLOOKUP(J69,MASTER!C:D,2,0),"")</f>
        <v/>
      </c>
      <c r="L69" s="4" t="str">
        <f t="shared" si="4"/>
        <v>0X0X0</v>
      </c>
      <c r="M69" s="58" t="str">
        <f t="shared" si="8"/>
        <v>0X0X0</v>
      </c>
      <c r="N69" s="4" t="str">
        <f t="shared" ref="N69:N132" si="12">M69</f>
        <v>0X0X0</v>
      </c>
      <c r="O69" s="5">
        <f t="shared" si="6"/>
        <v>0</v>
      </c>
      <c r="P69" s="9"/>
      <c r="Q69" s="9"/>
      <c r="R69" s="13"/>
      <c r="S69" s="13"/>
      <c r="T69" s="13"/>
      <c r="U69" s="5"/>
    </row>
    <row r="70" spans="1:21" ht="20.100000000000001" customHeight="1" x14ac:dyDescent="0.2">
      <c r="A70" s="21"/>
      <c r="B70" s="5"/>
      <c r="C70" s="5"/>
      <c r="D70" s="9"/>
      <c r="E70" s="9"/>
      <c r="F70" s="9"/>
      <c r="G70" s="9"/>
      <c r="H70" s="9">
        <f t="shared" si="9"/>
        <v>0</v>
      </c>
      <c r="I70" s="9">
        <f t="shared" si="10"/>
        <v>0</v>
      </c>
      <c r="J70" s="9" t="str">
        <f t="shared" si="11"/>
        <v>-</v>
      </c>
      <c r="K70" s="52" t="str">
        <f>IFERROR(VLOOKUP(J70,MASTER!C:D,2,0),"")</f>
        <v/>
      </c>
      <c r="L70" s="4" t="str">
        <f t="shared" ref="L70:L133" si="13">IFERROR((H70&amp;"X"&amp;I70&amp;"X"&amp;"0"&amp;F70),"")</f>
        <v>0X0X0</v>
      </c>
      <c r="M70" s="58" t="str">
        <f t="shared" si="8"/>
        <v>0X0X0</v>
      </c>
      <c r="N70" s="4" t="str">
        <f t="shared" si="12"/>
        <v>0X0X0</v>
      </c>
      <c r="O70" s="5">
        <f t="shared" ref="O70:O133" si="14">+G70</f>
        <v>0</v>
      </c>
      <c r="P70" s="9"/>
      <c r="Q70" s="9"/>
      <c r="R70" s="13"/>
      <c r="S70" s="13"/>
      <c r="T70" s="13"/>
      <c r="U70" s="5"/>
    </row>
    <row r="71" spans="1:21" ht="20.100000000000001" customHeight="1" x14ac:dyDescent="0.2">
      <c r="A71" s="21"/>
      <c r="B71" s="5"/>
      <c r="C71" s="5"/>
      <c r="D71" s="9"/>
      <c r="E71" s="9"/>
      <c r="F71" s="9"/>
      <c r="G71" s="9"/>
      <c r="H71" s="9">
        <f t="shared" si="9"/>
        <v>0</v>
      </c>
      <c r="I71" s="9">
        <f t="shared" si="10"/>
        <v>0</v>
      </c>
      <c r="J71" s="9" t="str">
        <f t="shared" si="11"/>
        <v>-</v>
      </c>
      <c r="K71" s="52" t="str">
        <f>IFERROR(VLOOKUP(J71,MASTER!C:D,2,0),"")</f>
        <v/>
      </c>
      <c r="L71" s="4" t="str">
        <f t="shared" si="13"/>
        <v>0X0X0</v>
      </c>
      <c r="M71" s="58" t="str">
        <f t="shared" si="8"/>
        <v>0X0X0</v>
      </c>
      <c r="N71" s="4" t="str">
        <f t="shared" si="12"/>
        <v>0X0X0</v>
      </c>
      <c r="O71" s="5">
        <f t="shared" si="14"/>
        <v>0</v>
      </c>
      <c r="P71" s="9"/>
      <c r="Q71" s="9"/>
      <c r="R71" s="13"/>
      <c r="S71" s="13"/>
      <c r="T71" s="13"/>
      <c r="U71" s="5"/>
    </row>
    <row r="72" spans="1:21" ht="20.100000000000001" customHeight="1" x14ac:dyDescent="0.2">
      <c r="A72" s="21"/>
      <c r="B72" s="5"/>
      <c r="C72" s="5"/>
      <c r="D72" s="9"/>
      <c r="E72" s="9"/>
      <c r="F72" s="9"/>
      <c r="G72" s="9"/>
      <c r="H72" s="9">
        <f t="shared" si="9"/>
        <v>0</v>
      </c>
      <c r="I72" s="9">
        <f t="shared" si="10"/>
        <v>0</v>
      </c>
      <c r="J72" s="9" t="str">
        <f t="shared" si="11"/>
        <v>-</v>
      </c>
      <c r="K72" s="52" t="str">
        <f>IFERROR(VLOOKUP(J72,MASTER!C:D,2,0),"")</f>
        <v/>
      </c>
      <c r="L72" s="4" t="str">
        <f t="shared" si="13"/>
        <v>0X0X0</v>
      </c>
      <c r="M72" s="58" t="str">
        <f t="shared" si="8"/>
        <v>0X0X0</v>
      </c>
      <c r="N72" s="4" t="str">
        <f t="shared" si="12"/>
        <v>0X0X0</v>
      </c>
      <c r="O72" s="5">
        <f t="shared" si="14"/>
        <v>0</v>
      </c>
      <c r="P72" s="9"/>
      <c r="Q72" s="9"/>
      <c r="R72" s="13"/>
      <c r="S72" s="13"/>
      <c r="T72" s="13"/>
      <c r="U72" s="5"/>
    </row>
    <row r="73" spans="1:21" ht="20.100000000000001" customHeight="1" x14ac:dyDescent="0.2">
      <c r="A73" s="21"/>
      <c r="B73" s="5"/>
      <c r="C73" s="5"/>
      <c r="D73" s="9"/>
      <c r="E73" s="9"/>
      <c r="F73" s="9"/>
      <c r="G73" s="9"/>
      <c r="H73" s="9">
        <f t="shared" si="9"/>
        <v>0</v>
      </c>
      <c r="I73" s="9">
        <f t="shared" si="10"/>
        <v>0</v>
      </c>
      <c r="J73" s="9" t="str">
        <f t="shared" si="11"/>
        <v>-</v>
      </c>
      <c r="K73" s="52" t="str">
        <f>IFERROR(VLOOKUP(J73,MASTER!C:D,2,0),"")</f>
        <v/>
      </c>
      <c r="L73" s="4" t="str">
        <f t="shared" si="13"/>
        <v>0X0X0</v>
      </c>
      <c r="M73" s="58" t="str">
        <f t="shared" ref="M73:M136" si="15">IFERROR((K73&amp;L73),"")</f>
        <v>0X0X0</v>
      </c>
      <c r="N73" s="4" t="str">
        <f t="shared" si="12"/>
        <v>0X0X0</v>
      </c>
      <c r="O73" s="5">
        <f t="shared" si="14"/>
        <v>0</v>
      </c>
      <c r="P73" s="9"/>
      <c r="Q73" s="9"/>
      <c r="R73" s="13"/>
      <c r="S73" s="13"/>
      <c r="T73" s="13"/>
      <c r="U73" s="5"/>
    </row>
    <row r="74" spans="1:21" ht="20.100000000000001" customHeight="1" x14ac:dyDescent="0.2">
      <c r="A74" s="21"/>
      <c r="B74" s="5"/>
      <c r="C74" s="5"/>
      <c r="D74" s="9"/>
      <c r="E74" s="9"/>
      <c r="F74" s="9"/>
      <c r="G74" s="9"/>
      <c r="H74" s="9">
        <f t="shared" si="9"/>
        <v>0</v>
      </c>
      <c r="I74" s="9">
        <f t="shared" si="10"/>
        <v>0</v>
      </c>
      <c r="J74" s="9" t="str">
        <f t="shared" si="11"/>
        <v>-</v>
      </c>
      <c r="K74" s="52" t="str">
        <f>IFERROR(VLOOKUP(J74,MASTER!C:D,2,0),"")</f>
        <v/>
      </c>
      <c r="L74" s="4" t="str">
        <f t="shared" si="13"/>
        <v>0X0X0</v>
      </c>
      <c r="M74" s="58" t="str">
        <f t="shared" si="15"/>
        <v>0X0X0</v>
      </c>
      <c r="N74" s="4" t="str">
        <f t="shared" si="12"/>
        <v>0X0X0</v>
      </c>
      <c r="O74" s="5">
        <f t="shared" si="14"/>
        <v>0</v>
      </c>
      <c r="P74" s="9"/>
      <c r="Q74" s="9"/>
      <c r="R74" s="13"/>
      <c r="S74" s="13"/>
      <c r="T74" s="13"/>
      <c r="U74" s="5"/>
    </row>
    <row r="75" spans="1:21" ht="20.100000000000001" customHeight="1" x14ac:dyDescent="0.2">
      <c r="A75" s="21"/>
      <c r="B75" s="5"/>
      <c r="C75" s="5"/>
      <c r="D75" s="9"/>
      <c r="E75" s="9"/>
      <c r="F75" s="9"/>
      <c r="G75" s="9"/>
      <c r="H75" s="9">
        <f t="shared" si="9"/>
        <v>0</v>
      </c>
      <c r="I75" s="9">
        <f t="shared" si="10"/>
        <v>0</v>
      </c>
      <c r="J75" s="9" t="str">
        <f t="shared" si="11"/>
        <v>-</v>
      </c>
      <c r="K75" s="52" t="str">
        <f>IFERROR(VLOOKUP(J75,MASTER!C:D,2,0),"")</f>
        <v/>
      </c>
      <c r="L75" s="4" t="str">
        <f t="shared" si="13"/>
        <v>0X0X0</v>
      </c>
      <c r="M75" s="58" t="str">
        <f t="shared" si="15"/>
        <v>0X0X0</v>
      </c>
      <c r="N75" s="4" t="str">
        <f t="shared" si="12"/>
        <v>0X0X0</v>
      </c>
      <c r="O75" s="5">
        <f t="shared" si="14"/>
        <v>0</v>
      </c>
      <c r="P75" s="9"/>
      <c r="Q75" s="9"/>
      <c r="R75" s="13"/>
      <c r="S75" s="13"/>
      <c r="T75" s="13"/>
      <c r="U75" s="5"/>
    </row>
    <row r="76" spans="1:21" ht="20.100000000000001" customHeight="1" x14ac:dyDescent="0.2">
      <c r="A76" s="21"/>
      <c r="B76" s="5"/>
      <c r="C76" s="5"/>
      <c r="D76" s="9"/>
      <c r="E76" s="9"/>
      <c r="F76" s="9"/>
      <c r="G76" s="9"/>
      <c r="H76" s="9">
        <f t="shared" si="9"/>
        <v>0</v>
      </c>
      <c r="I76" s="9">
        <f t="shared" si="10"/>
        <v>0</v>
      </c>
      <c r="J76" s="9" t="str">
        <f t="shared" si="11"/>
        <v>-</v>
      </c>
      <c r="K76" s="52" t="str">
        <f>IFERROR(VLOOKUP(J76,MASTER!C:D,2,0),"")</f>
        <v/>
      </c>
      <c r="L76" s="4" t="str">
        <f t="shared" si="13"/>
        <v>0X0X0</v>
      </c>
      <c r="M76" s="58" t="str">
        <f t="shared" si="15"/>
        <v>0X0X0</v>
      </c>
      <c r="N76" s="4" t="str">
        <f t="shared" si="12"/>
        <v>0X0X0</v>
      </c>
      <c r="O76" s="5">
        <f t="shared" si="14"/>
        <v>0</v>
      </c>
      <c r="P76" s="9"/>
      <c r="Q76" s="9"/>
      <c r="R76" s="13"/>
      <c r="S76" s="13"/>
      <c r="T76" s="13"/>
      <c r="U76" s="5"/>
    </row>
    <row r="77" spans="1:21" ht="20.100000000000001" customHeight="1" x14ac:dyDescent="0.2">
      <c r="A77" s="21"/>
      <c r="B77" s="5"/>
      <c r="C77" s="5"/>
      <c r="D77" s="9"/>
      <c r="E77" s="9"/>
      <c r="F77" s="9"/>
      <c r="G77" s="9"/>
      <c r="H77" s="9">
        <f t="shared" si="9"/>
        <v>0</v>
      </c>
      <c r="I77" s="9">
        <f t="shared" si="10"/>
        <v>0</v>
      </c>
      <c r="J77" s="9" t="str">
        <f t="shared" si="11"/>
        <v>-</v>
      </c>
      <c r="K77" s="52" t="str">
        <f>IFERROR(VLOOKUP(J77,MASTER!C:D,2,0),"")</f>
        <v/>
      </c>
      <c r="L77" s="4" t="str">
        <f t="shared" si="13"/>
        <v>0X0X0</v>
      </c>
      <c r="M77" s="58" t="str">
        <f t="shared" si="15"/>
        <v>0X0X0</v>
      </c>
      <c r="N77" s="4" t="str">
        <f t="shared" si="12"/>
        <v>0X0X0</v>
      </c>
      <c r="O77" s="5">
        <f t="shared" si="14"/>
        <v>0</v>
      </c>
      <c r="P77" s="9"/>
      <c r="Q77" s="9"/>
      <c r="R77" s="13"/>
      <c r="S77" s="13"/>
      <c r="T77" s="13"/>
      <c r="U77" s="5"/>
    </row>
    <row r="78" spans="1:21" ht="20.100000000000001" customHeight="1" x14ac:dyDescent="0.2">
      <c r="A78" s="21"/>
      <c r="B78" s="5"/>
      <c r="C78" s="5"/>
      <c r="D78" s="9"/>
      <c r="E78" s="9"/>
      <c r="F78" s="9"/>
      <c r="G78" s="9"/>
      <c r="H78" s="9">
        <f t="shared" si="9"/>
        <v>0</v>
      </c>
      <c r="I78" s="9">
        <f t="shared" si="10"/>
        <v>0</v>
      </c>
      <c r="J78" s="9" t="str">
        <f t="shared" si="11"/>
        <v>-</v>
      </c>
      <c r="K78" s="52" t="str">
        <f>IFERROR(VLOOKUP(J78,MASTER!C:D,2,0),"")</f>
        <v/>
      </c>
      <c r="L78" s="4" t="str">
        <f t="shared" si="13"/>
        <v>0X0X0</v>
      </c>
      <c r="M78" s="58" t="str">
        <f t="shared" si="15"/>
        <v>0X0X0</v>
      </c>
      <c r="N78" s="4" t="str">
        <f t="shared" si="12"/>
        <v>0X0X0</v>
      </c>
      <c r="O78" s="5">
        <f t="shared" si="14"/>
        <v>0</v>
      </c>
      <c r="P78" s="9"/>
      <c r="Q78" s="9"/>
      <c r="R78" s="13"/>
      <c r="S78" s="13"/>
      <c r="T78" s="13"/>
      <c r="U78" s="5"/>
    </row>
    <row r="79" spans="1:21" ht="20.100000000000001" customHeight="1" x14ac:dyDescent="0.2">
      <c r="A79" s="21"/>
      <c r="B79" s="5"/>
      <c r="C79" s="5"/>
      <c r="D79" s="9"/>
      <c r="E79" s="9"/>
      <c r="F79" s="9"/>
      <c r="G79" s="9"/>
      <c r="H79" s="9">
        <f t="shared" si="9"/>
        <v>0</v>
      </c>
      <c r="I79" s="9">
        <f t="shared" si="10"/>
        <v>0</v>
      </c>
      <c r="J79" s="9" t="str">
        <f t="shared" si="11"/>
        <v>-</v>
      </c>
      <c r="K79" s="52" t="str">
        <f>IFERROR(VLOOKUP(J79,MASTER!C:D,2,0),"")</f>
        <v/>
      </c>
      <c r="L79" s="4" t="str">
        <f t="shared" si="13"/>
        <v>0X0X0</v>
      </c>
      <c r="M79" s="58" t="str">
        <f t="shared" si="15"/>
        <v>0X0X0</v>
      </c>
      <c r="N79" s="4" t="str">
        <f t="shared" si="12"/>
        <v>0X0X0</v>
      </c>
      <c r="O79" s="5">
        <f t="shared" si="14"/>
        <v>0</v>
      </c>
      <c r="P79" s="9"/>
      <c r="Q79" s="9"/>
      <c r="R79" s="13"/>
      <c r="S79" s="13"/>
      <c r="T79" s="13"/>
      <c r="U79" s="5"/>
    </row>
    <row r="80" spans="1:21" ht="20.100000000000001" customHeight="1" x14ac:dyDescent="0.2">
      <c r="A80" s="21"/>
      <c r="B80" s="5"/>
      <c r="C80" s="5"/>
      <c r="D80" s="9"/>
      <c r="E80" s="9"/>
      <c r="F80" s="9"/>
      <c r="G80" s="9"/>
      <c r="H80" s="9">
        <f t="shared" si="9"/>
        <v>0</v>
      </c>
      <c r="I80" s="9">
        <f t="shared" si="10"/>
        <v>0</v>
      </c>
      <c r="J80" s="9" t="str">
        <f t="shared" si="11"/>
        <v>-</v>
      </c>
      <c r="K80" s="52" t="str">
        <f>IFERROR(VLOOKUP(J80,MASTER!C:D,2,0),"")</f>
        <v/>
      </c>
      <c r="L80" s="4" t="str">
        <f t="shared" si="13"/>
        <v>0X0X0</v>
      </c>
      <c r="M80" s="58" t="str">
        <f t="shared" si="15"/>
        <v>0X0X0</v>
      </c>
      <c r="N80" s="4" t="str">
        <f t="shared" si="12"/>
        <v>0X0X0</v>
      </c>
      <c r="O80" s="5">
        <f t="shared" si="14"/>
        <v>0</v>
      </c>
      <c r="P80" s="9"/>
      <c r="Q80" s="9"/>
      <c r="R80" s="13"/>
      <c r="S80" s="13"/>
      <c r="T80" s="13"/>
      <c r="U80" s="5"/>
    </row>
    <row r="81" spans="1:21" ht="20.100000000000001" customHeight="1" x14ac:dyDescent="0.2">
      <c r="A81" s="21"/>
      <c r="B81" s="5"/>
      <c r="C81" s="5"/>
      <c r="D81" s="9"/>
      <c r="E81" s="9"/>
      <c r="F81" s="9"/>
      <c r="G81" s="9"/>
      <c r="H81" s="9">
        <f t="shared" si="9"/>
        <v>0</v>
      </c>
      <c r="I81" s="9">
        <f t="shared" si="10"/>
        <v>0</v>
      </c>
      <c r="J81" s="9" t="str">
        <f t="shared" si="11"/>
        <v>-</v>
      </c>
      <c r="K81" s="52" t="str">
        <f>IFERROR(VLOOKUP(J81,MASTER!C:D,2,0),"")</f>
        <v/>
      </c>
      <c r="L81" s="4" t="str">
        <f t="shared" si="13"/>
        <v>0X0X0</v>
      </c>
      <c r="M81" s="58" t="str">
        <f t="shared" si="15"/>
        <v>0X0X0</v>
      </c>
      <c r="N81" s="4" t="str">
        <f t="shared" si="12"/>
        <v>0X0X0</v>
      </c>
      <c r="O81" s="5">
        <f t="shared" si="14"/>
        <v>0</v>
      </c>
      <c r="P81" s="9"/>
      <c r="Q81" s="9"/>
      <c r="R81" s="13"/>
      <c r="S81" s="13"/>
      <c r="T81" s="13"/>
      <c r="U81" s="5"/>
    </row>
    <row r="82" spans="1:21" ht="20.100000000000001" customHeight="1" x14ac:dyDescent="0.2">
      <c r="A82" s="21"/>
      <c r="B82" s="5"/>
      <c r="C82" s="5"/>
      <c r="D82" s="9"/>
      <c r="E82" s="9"/>
      <c r="F82" s="9"/>
      <c r="G82" s="9"/>
      <c r="H82" s="9">
        <f t="shared" si="9"/>
        <v>0</v>
      </c>
      <c r="I82" s="9">
        <f t="shared" si="10"/>
        <v>0</v>
      </c>
      <c r="J82" s="9" t="str">
        <f t="shared" si="11"/>
        <v>-</v>
      </c>
      <c r="K82" s="52" t="str">
        <f>IFERROR(VLOOKUP(J82,MASTER!C:D,2,0),"")</f>
        <v/>
      </c>
      <c r="L82" s="4" t="str">
        <f t="shared" si="13"/>
        <v>0X0X0</v>
      </c>
      <c r="M82" s="58" t="str">
        <f t="shared" si="15"/>
        <v>0X0X0</v>
      </c>
      <c r="N82" s="4" t="str">
        <f t="shared" si="12"/>
        <v>0X0X0</v>
      </c>
      <c r="O82" s="5">
        <f t="shared" si="14"/>
        <v>0</v>
      </c>
      <c r="P82" s="9"/>
      <c r="Q82" s="9"/>
      <c r="R82" s="13"/>
      <c r="S82" s="13"/>
      <c r="T82" s="13"/>
      <c r="U82" s="5"/>
    </row>
    <row r="83" spans="1:21" ht="20.100000000000001" customHeight="1" x14ac:dyDescent="0.2">
      <c r="A83" s="21"/>
      <c r="B83" s="5"/>
      <c r="C83" s="5"/>
      <c r="D83" s="9"/>
      <c r="E83" s="9"/>
      <c r="F83" s="9"/>
      <c r="G83" s="9"/>
      <c r="H83" s="9">
        <f t="shared" si="9"/>
        <v>0</v>
      </c>
      <c r="I83" s="9">
        <f t="shared" si="10"/>
        <v>0</v>
      </c>
      <c r="J83" s="9" t="str">
        <f t="shared" si="11"/>
        <v>-</v>
      </c>
      <c r="K83" s="52" t="str">
        <f>IFERROR(VLOOKUP(J83,MASTER!C:D,2,0),"")</f>
        <v/>
      </c>
      <c r="L83" s="4" t="str">
        <f t="shared" si="13"/>
        <v>0X0X0</v>
      </c>
      <c r="M83" s="58" t="str">
        <f t="shared" si="15"/>
        <v>0X0X0</v>
      </c>
      <c r="N83" s="4" t="str">
        <f t="shared" si="12"/>
        <v>0X0X0</v>
      </c>
      <c r="O83" s="5">
        <f t="shared" si="14"/>
        <v>0</v>
      </c>
      <c r="P83" s="9"/>
      <c r="Q83" s="9"/>
      <c r="R83" s="13"/>
      <c r="S83" s="13"/>
      <c r="T83" s="13"/>
      <c r="U83" s="5"/>
    </row>
    <row r="84" spans="1:21" ht="20.100000000000001" customHeight="1" x14ac:dyDescent="0.2">
      <c r="A84" s="21"/>
      <c r="B84" s="5"/>
      <c r="C84" s="5"/>
      <c r="D84" s="9"/>
      <c r="E84" s="9"/>
      <c r="F84" s="9"/>
      <c r="G84" s="9"/>
      <c r="H84" s="9">
        <f t="shared" si="9"/>
        <v>0</v>
      </c>
      <c r="I84" s="9">
        <f t="shared" si="10"/>
        <v>0</v>
      </c>
      <c r="J84" s="9" t="str">
        <f t="shared" si="11"/>
        <v>-</v>
      </c>
      <c r="K84" s="52" t="str">
        <f>IFERROR(VLOOKUP(J84,MASTER!C:D,2,0),"")</f>
        <v/>
      </c>
      <c r="L84" s="4" t="str">
        <f t="shared" si="13"/>
        <v>0X0X0</v>
      </c>
      <c r="M84" s="58" t="str">
        <f t="shared" si="15"/>
        <v>0X0X0</v>
      </c>
      <c r="N84" s="4" t="str">
        <f t="shared" si="12"/>
        <v>0X0X0</v>
      </c>
      <c r="O84" s="5">
        <f t="shared" si="14"/>
        <v>0</v>
      </c>
      <c r="P84" s="9"/>
      <c r="Q84" s="9"/>
      <c r="R84" s="13"/>
      <c r="S84" s="13"/>
      <c r="T84" s="13"/>
      <c r="U84" s="5"/>
    </row>
    <row r="85" spans="1:21" ht="20.100000000000001" customHeight="1" x14ac:dyDescent="0.2">
      <c r="A85" s="21"/>
      <c r="B85" s="5"/>
      <c r="C85" s="5"/>
      <c r="D85" s="9"/>
      <c r="E85" s="9"/>
      <c r="F85" s="9"/>
      <c r="G85" s="9"/>
      <c r="H85" s="9">
        <f t="shared" si="9"/>
        <v>0</v>
      </c>
      <c r="I85" s="9">
        <f t="shared" si="10"/>
        <v>0</v>
      </c>
      <c r="J85" s="9" t="str">
        <f t="shared" si="11"/>
        <v>-</v>
      </c>
      <c r="K85" s="52" t="str">
        <f>IFERROR(VLOOKUP(J85,MASTER!C:D,2,0),"")</f>
        <v/>
      </c>
      <c r="L85" s="4" t="str">
        <f t="shared" si="13"/>
        <v>0X0X0</v>
      </c>
      <c r="M85" s="58" t="str">
        <f t="shared" si="15"/>
        <v>0X0X0</v>
      </c>
      <c r="N85" s="4" t="str">
        <f t="shared" si="12"/>
        <v>0X0X0</v>
      </c>
      <c r="O85" s="5">
        <f t="shared" si="14"/>
        <v>0</v>
      </c>
      <c r="P85" s="9"/>
      <c r="Q85" s="9"/>
      <c r="R85" s="13"/>
      <c r="S85" s="13"/>
      <c r="T85" s="13"/>
      <c r="U85" s="5"/>
    </row>
    <row r="86" spans="1:21" ht="20.100000000000001" customHeight="1" x14ac:dyDescent="0.2">
      <c r="A86" s="21"/>
      <c r="B86" s="5"/>
      <c r="C86" s="5"/>
      <c r="D86" s="9"/>
      <c r="E86" s="9"/>
      <c r="F86" s="9"/>
      <c r="G86" s="9"/>
      <c r="H86" s="9">
        <f t="shared" si="9"/>
        <v>0</v>
      </c>
      <c r="I86" s="9">
        <f t="shared" si="10"/>
        <v>0</v>
      </c>
      <c r="J86" s="9" t="str">
        <f t="shared" si="11"/>
        <v>-</v>
      </c>
      <c r="K86" s="52" t="str">
        <f>IFERROR(VLOOKUP(J86,MASTER!C:D,2,0),"")</f>
        <v/>
      </c>
      <c r="L86" s="4" t="str">
        <f t="shared" si="13"/>
        <v>0X0X0</v>
      </c>
      <c r="M86" s="58" t="str">
        <f t="shared" si="15"/>
        <v>0X0X0</v>
      </c>
      <c r="N86" s="4" t="str">
        <f t="shared" si="12"/>
        <v>0X0X0</v>
      </c>
      <c r="O86" s="5">
        <f t="shared" si="14"/>
        <v>0</v>
      </c>
      <c r="P86" s="9"/>
      <c r="Q86" s="9"/>
      <c r="R86" s="13"/>
      <c r="S86" s="13"/>
      <c r="T86" s="13"/>
      <c r="U86" s="5"/>
    </row>
    <row r="87" spans="1:21" ht="20.100000000000001" customHeight="1" x14ac:dyDescent="0.2">
      <c r="A87" s="21"/>
      <c r="B87" s="5"/>
      <c r="C87" s="5"/>
      <c r="D87" s="9"/>
      <c r="E87" s="9"/>
      <c r="F87" s="9"/>
      <c r="G87" s="9"/>
      <c r="H87" s="9">
        <f t="shared" si="9"/>
        <v>0</v>
      </c>
      <c r="I87" s="9">
        <f t="shared" si="10"/>
        <v>0</v>
      </c>
      <c r="J87" s="9" t="str">
        <f t="shared" si="11"/>
        <v>-</v>
      </c>
      <c r="K87" s="52" t="str">
        <f>IFERROR(VLOOKUP(J87,MASTER!C:D,2,0),"")</f>
        <v/>
      </c>
      <c r="L87" s="4" t="str">
        <f t="shared" si="13"/>
        <v>0X0X0</v>
      </c>
      <c r="M87" s="58" t="str">
        <f t="shared" si="15"/>
        <v>0X0X0</v>
      </c>
      <c r="N87" s="4" t="str">
        <f t="shared" si="12"/>
        <v>0X0X0</v>
      </c>
      <c r="O87" s="5">
        <f t="shared" si="14"/>
        <v>0</v>
      </c>
      <c r="P87" s="9"/>
      <c r="Q87" s="9"/>
      <c r="R87" s="13"/>
      <c r="S87" s="13"/>
      <c r="T87" s="13"/>
      <c r="U87" s="5"/>
    </row>
    <row r="88" spans="1:21" ht="20.100000000000001" customHeight="1" x14ac:dyDescent="0.2">
      <c r="A88" s="21"/>
      <c r="B88" s="5"/>
      <c r="C88" s="5"/>
      <c r="D88" s="9"/>
      <c r="E88" s="9"/>
      <c r="F88" s="9"/>
      <c r="G88" s="9"/>
      <c r="H88" s="9">
        <f t="shared" si="9"/>
        <v>0</v>
      </c>
      <c r="I88" s="9">
        <f t="shared" si="10"/>
        <v>0</v>
      </c>
      <c r="J88" s="9" t="str">
        <f t="shared" si="11"/>
        <v>-</v>
      </c>
      <c r="K88" s="52" t="str">
        <f>IFERROR(VLOOKUP(J88,MASTER!C:D,2,0),"")</f>
        <v/>
      </c>
      <c r="L88" s="4" t="str">
        <f t="shared" si="13"/>
        <v>0X0X0</v>
      </c>
      <c r="M88" s="58" t="str">
        <f t="shared" si="15"/>
        <v>0X0X0</v>
      </c>
      <c r="N88" s="4" t="str">
        <f t="shared" si="12"/>
        <v>0X0X0</v>
      </c>
      <c r="O88" s="5">
        <f t="shared" si="14"/>
        <v>0</v>
      </c>
      <c r="P88" s="9"/>
      <c r="Q88" s="9"/>
      <c r="R88" s="13"/>
      <c r="S88" s="13"/>
      <c r="T88" s="13"/>
      <c r="U88" s="5"/>
    </row>
    <row r="89" spans="1:21" ht="20.100000000000001" customHeight="1" x14ac:dyDescent="0.2">
      <c r="A89" s="21"/>
      <c r="B89" s="5"/>
      <c r="C89" s="5"/>
      <c r="D89" s="9"/>
      <c r="E89" s="9"/>
      <c r="F89" s="9"/>
      <c r="G89" s="9"/>
      <c r="H89" s="9">
        <f t="shared" si="9"/>
        <v>0</v>
      </c>
      <c r="I89" s="9">
        <f t="shared" si="10"/>
        <v>0</v>
      </c>
      <c r="J89" s="9" t="str">
        <f t="shared" si="11"/>
        <v>-</v>
      </c>
      <c r="K89" s="52" t="str">
        <f>IFERROR(VLOOKUP(J89,MASTER!C:D,2,0),"")</f>
        <v/>
      </c>
      <c r="L89" s="4" t="str">
        <f t="shared" si="13"/>
        <v>0X0X0</v>
      </c>
      <c r="M89" s="58" t="str">
        <f t="shared" si="15"/>
        <v>0X0X0</v>
      </c>
      <c r="N89" s="4" t="str">
        <f t="shared" si="12"/>
        <v>0X0X0</v>
      </c>
      <c r="O89" s="5">
        <f t="shared" si="14"/>
        <v>0</v>
      </c>
      <c r="P89" s="9"/>
      <c r="Q89" s="9"/>
      <c r="R89" s="13"/>
      <c r="S89" s="13"/>
      <c r="T89" s="13"/>
      <c r="U89" s="5"/>
    </row>
    <row r="90" spans="1:21" ht="20.100000000000001" customHeight="1" x14ac:dyDescent="0.2">
      <c r="A90" s="21"/>
      <c r="B90" s="5"/>
      <c r="C90" s="5"/>
      <c r="D90" s="9"/>
      <c r="E90" s="9"/>
      <c r="F90" s="9"/>
      <c r="G90" s="9"/>
      <c r="H90" s="9">
        <f t="shared" si="9"/>
        <v>0</v>
      </c>
      <c r="I90" s="9">
        <f t="shared" si="10"/>
        <v>0</v>
      </c>
      <c r="J90" s="9" t="str">
        <f t="shared" si="11"/>
        <v>-</v>
      </c>
      <c r="K90" s="52" t="str">
        <f>IFERROR(VLOOKUP(J90,MASTER!C:D,2,0),"")</f>
        <v/>
      </c>
      <c r="L90" s="4" t="str">
        <f t="shared" si="13"/>
        <v>0X0X0</v>
      </c>
      <c r="M90" s="58" t="str">
        <f t="shared" si="15"/>
        <v>0X0X0</v>
      </c>
      <c r="N90" s="4" t="str">
        <f t="shared" si="12"/>
        <v>0X0X0</v>
      </c>
      <c r="O90" s="5">
        <f t="shared" si="14"/>
        <v>0</v>
      </c>
      <c r="P90" s="9"/>
      <c r="Q90" s="9"/>
      <c r="R90" s="13"/>
      <c r="S90" s="13"/>
      <c r="T90" s="13"/>
      <c r="U90" s="5"/>
    </row>
    <row r="91" spans="1:21" ht="20.100000000000001" customHeight="1" x14ac:dyDescent="0.2">
      <c r="A91" s="21"/>
      <c r="B91" s="5"/>
      <c r="C91" s="5"/>
      <c r="D91" s="9"/>
      <c r="E91" s="9"/>
      <c r="F91" s="9"/>
      <c r="G91" s="9"/>
      <c r="H91" s="9">
        <f t="shared" si="9"/>
        <v>0</v>
      </c>
      <c r="I91" s="9">
        <f t="shared" si="10"/>
        <v>0</v>
      </c>
      <c r="J91" s="9" t="str">
        <f t="shared" si="11"/>
        <v>-</v>
      </c>
      <c r="K91" s="52" t="str">
        <f>IFERROR(VLOOKUP(J91,MASTER!C:D,2,0),"")</f>
        <v/>
      </c>
      <c r="L91" s="4" t="str">
        <f t="shared" si="13"/>
        <v>0X0X0</v>
      </c>
      <c r="M91" s="58" t="str">
        <f t="shared" si="15"/>
        <v>0X0X0</v>
      </c>
      <c r="N91" s="4" t="str">
        <f t="shared" si="12"/>
        <v>0X0X0</v>
      </c>
      <c r="O91" s="5">
        <f t="shared" si="14"/>
        <v>0</v>
      </c>
      <c r="P91" s="9"/>
      <c r="Q91" s="9"/>
      <c r="R91" s="13"/>
      <c r="S91" s="13"/>
      <c r="T91" s="13"/>
      <c r="U91" s="5"/>
    </row>
    <row r="92" spans="1:21" ht="20.100000000000001" customHeight="1" x14ac:dyDescent="0.2">
      <c r="A92" s="21"/>
      <c r="B92" s="5"/>
      <c r="C92" s="5"/>
      <c r="D92" s="9"/>
      <c r="E92" s="9"/>
      <c r="F92" s="9"/>
      <c r="G92" s="9"/>
      <c r="H92" s="9">
        <f t="shared" si="9"/>
        <v>0</v>
      </c>
      <c r="I92" s="9">
        <f t="shared" si="10"/>
        <v>0</v>
      </c>
      <c r="J92" s="9" t="str">
        <f t="shared" si="11"/>
        <v>-</v>
      </c>
      <c r="K92" s="52" t="str">
        <f>IFERROR(VLOOKUP(J92,MASTER!C:D,2,0),"")</f>
        <v/>
      </c>
      <c r="L92" s="4" t="str">
        <f t="shared" si="13"/>
        <v>0X0X0</v>
      </c>
      <c r="M92" s="58" t="str">
        <f t="shared" si="15"/>
        <v>0X0X0</v>
      </c>
      <c r="N92" s="4" t="str">
        <f t="shared" si="12"/>
        <v>0X0X0</v>
      </c>
      <c r="O92" s="5">
        <f t="shared" si="14"/>
        <v>0</v>
      </c>
      <c r="P92" s="9"/>
      <c r="Q92" s="9"/>
      <c r="R92" s="13"/>
      <c r="S92" s="13"/>
      <c r="T92" s="13"/>
      <c r="U92" s="5"/>
    </row>
    <row r="93" spans="1:21" ht="20.100000000000001" customHeight="1" x14ac:dyDescent="0.2">
      <c r="A93" s="21"/>
      <c r="B93" s="5"/>
      <c r="C93" s="5"/>
      <c r="D93" s="9"/>
      <c r="E93" s="9"/>
      <c r="F93" s="9"/>
      <c r="G93" s="9"/>
      <c r="H93" s="9">
        <f t="shared" ref="H93:H156" si="16">IF(D93="",0,IF(VALUE(D93)&gt;VALUE(E93),IF(OR(VALUE(D93)=13,VALUE(D93)=20,VALUE(D93)=72,VALUE(D93)=75,VALUE(D93)=78,VALUE(D93)=80,VALUE(D93)=84),D93,IF(VALUE(D93)&lt;72,72,IF(VALUE(D93)&lt;75,75,IF(VALUE(D93)&lt;78,78,IF(VALUE(D93)&lt;80,80,IF(VALUE(D93)&lt;84,84,IF(VALUE(D93)&gt;84,84,""""))))))),IF(OR(VALUE(D93)=13,VALUE(D93)=20,VALUE(D93)=30,VALUE(D93)=33,VALUE(D93)=36,VALUE(D93)=39,VALUE(D93)=42,VALUE(D93)=45,VALUE(D93)=48,VALUE(D93)=51,VALUE(D93)=54,VALUE(D93)=57,VALUE(D93)=60,VALUE(D93)=63,VALUE(D93)=66,VALUE(D93)=69,VALUE(D93)=72),D93,IF(VALUE(D93)&lt;30,30,IF(VALUE(D93)&lt;33,33,IF(VALUE(D93)&lt;36,36,IF(VALUE(D93)&lt;39,39,IF(VALUE(D93)&lt;42,42,IF(VALUE(D93)&lt;45,45,IF(VALUE(D93)&lt;48,48,IF(VALUE(D93)&lt;51,51,IF(VALUE(D93)&lt;54,54,IF(VALUE(D93)&lt;57,57,IF(VALUE(D93)&lt;60,60,IF(VALUE(D93)&lt;63,63,IF(VALUE(D93)&lt;66,66,IF(VALUE(D93)&lt;69,69,IF(VALUE(D93)&lt;72,72,IF(VALUE(D93)&gt;72,72,"""")))))))))))))))))))</f>
        <v>0</v>
      </c>
      <c r="I93" s="9">
        <f t="shared" ref="I93:I156" si="17">IF(E93="",0,IF(VALUE(D93)&gt;VALUE(E93),IF(OR(VALUE(E93)=13,VALUE(E93)=18,VALUE(E93)=30,VALUE(E93)=33,VALUE(E93)=36,VALUE(E93)=39,VALUE(E93)=42,VALUE(E93)=45,VALUE(E93)=48,VALUE(E93)=51,VALUE(E93)=54,VALUE(E93)=57,VALUE(E93)=60,VALUE(E93)=63,VALUE(E93)=66,VALUE(E93)=69,VALUE(E93)=72),E93,IF(VALUE(E93)&lt;30,30,IF(VALUE(E93)&lt;33,33,IF(VALUE(E93)&lt;36,36,IF(VALUE(E93)&lt;39,39,IF(VALUE(E93)&lt;42,42,IF(VALUE(E93)&lt;45,45,IF(VALUE(E93)&lt;48,48,IF(VALUE(E93)&lt;51,51,IF(VALUE(E93)&lt;54,54,IF(VALUE(E93)&lt;57,57,IF(VALUE(E93)&lt;60,60,IF(VALUE(E93)&lt;63,63,IF(VALUE(E93)&lt;66,66,IF(VALUE(E93)&lt;69,69,IF(VALUE(E93)&lt;72,72,IF(VALUE(E93)&gt;72,72,""""))))))))))))))))),IF(OR(VALUE(E93)=13,VALUE(E93)=18,VALUE(E93)=72,VALUE(E93)=75,VALUE(E93)=78,VALUE(E93)=80,VALUE(E93)=84),E93,IF(VALUE(E93)&lt;72,72,IF(VALUE(E93)&lt;75,75,IF(VALUE(E93)&lt;78,78,IF(VALUE(E93)&lt;80,80,IF(VALUE(E93)&lt;84,84,IF(VALUE(E93)&gt;84,84,"""")))))))))</f>
        <v>0</v>
      </c>
      <c r="J93" s="9" t="str">
        <f t="shared" si="11"/>
        <v>-</v>
      </c>
      <c r="K93" s="52" t="str">
        <f>IFERROR(VLOOKUP(J93,MASTER!C:D,2,0),"")</f>
        <v/>
      </c>
      <c r="L93" s="4" t="str">
        <f t="shared" si="13"/>
        <v>0X0X0</v>
      </c>
      <c r="M93" s="58" t="str">
        <f t="shared" si="15"/>
        <v>0X0X0</v>
      </c>
      <c r="N93" s="4" t="str">
        <f t="shared" si="12"/>
        <v>0X0X0</v>
      </c>
      <c r="O93" s="5">
        <f t="shared" si="14"/>
        <v>0</v>
      </c>
      <c r="P93" s="9"/>
      <c r="Q93" s="9"/>
      <c r="R93" s="13"/>
      <c r="S93" s="13"/>
      <c r="T93" s="13"/>
      <c r="U93" s="5"/>
    </row>
    <row r="94" spans="1:21" ht="20.100000000000001" customHeight="1" x14ac:dyDescent="0.2">
      <c r="A94" s="21"/>
      <c r="B94" s="5"/>
      <c r="C94" s="5"/>
      <c r="D94" s="9"/>
      <c r="E94" s="9"/>
      <c r="F94" s="9"/>
      <c r="G94" s="9"/>
      <c r="H94" s="9">
        <f t="shared" si="16"/>
        <v>0</v>
      </c>
      <c r="I94" s="9">
        <f t="shared" si="17"/>
        <v>0</v>
      </c>
      <c r="J94" s="9" t="str">
        <f t="shared" si="11"/>
        <v>-</v>
      </c>
      <c r="K94" s="52" t="str">
        <f>IFERROR(VLOOKUP(J94,MASTER!C:D,2,0),"")</f>
        <v/>
      </c>
      <c r="L94" s="4" t="str">
        <f t="shared" si="13"/>
        <v>0X0X0</v>
      </c>
      <c r="M94" s="58" t="str">
        <f t="shared" si="15"/>
        <v>0X0X0</v>
      </c>
      <c r="N94" s="4" t="str">
        <f t="shared" si="12"/>
        <v>0X0X0</v>
      </c>
      <c r="O94" s="5">
        <f t="shared" si="14"/>
        <v>0</v>
      </c>
      <c r="P94" s="9"/>
      <c r="Q94" s="9"/>
      <c r="R94" s="13"/>
      <c r="S94" s="13"/>
      <c r="T94" s="13"/>
      <c r="U94" s="5"/>
    </row>
    <row r="95" spans="1:21" ht="20.100000000000001" customHeight="1" x14ac:dyDescent="0.2">
      <c r="A95" s="21"/>
      <c r="B95" s="5"/>
      <c r="C95" s="5"/>
      <c r="D95" s="9"/>
      <c r="E95" s="9"/>
      <c r="F95" s="9"/>
      <c r="G95" s="9"/>
      <c r="H95" s="9">
        <f t="shared" si="16"/>
        <v>0</v>
      </c>
      <c r="I95" s="9">
        <f t="shared" si="17"/>
        <v>0</v>
      </c>
      <c r="J95" s="9" t="str">
        <f t="shared" si="11"/>
        <v>-</v>
      </c>
      <c r="K95" s="52" t="str">
        <f>IFERROR(VLOOKUP(J95,MASTER!C:D,2,0),"")</f>
        <v/>
      </c>
      <c r="L95" s="4" t="str">
        <f t="shared" si="13"/>
        <v>0X0X0</v>
      </c>
      <c r="M95" s="58" t="str">
        <f t="shared" si="15"/>
        <v>0X0X0</v>
      </c>
      <c r="N95" s="4" t="str">
        <f t="shared" si="12"/>
        <v>0X0X0</v>
      </c>
      <c r="O95" s="5">
        <f t="shared" si="14"/>
        <v>0</v>
      </c>
      <c r="P95" s="9"/>
      <c r="Q95" s="9"/>
      <c r="R95" s="13"/>
      <c r="S95" s="13"/>
      <c r="T95" s="13"/>
      <c r="U95" s="5"/>
    </row>
    <row r="96" spans="1:21" ht="20.100000000000001" customHeight="1" x14ac:dyDescent="0.2">
      <c r="A96" s="21"/>
      <c r="B96" s="5"/>
      <c r="C96" s="5"/>
      <c r="D96" s="9"/>
      <c r="E96" s="9"/>
      <c r="F96" s="9"/>
      <c r="G96" s="9"/>
      <c r="H96" s="9">
        <f t="shared" si="16"/>
        <v>0</v>
      </c>
      <c r="I96" s="9">
        <f t="shared" si="17"/>
        <v>0</v>
      </c>
      <c r="J96" s="9" t="str">
        <f t="shared" si="11"/>
        <v>-</v>
      </c>
      <c r="K96" s="52" t="str">
        <f>IFERROR(VLOOKUP(J96,MASTER!C:D,2,0),"")</f>
        <v/>
      </c>
      <c r="L96" s="4" t="str">
        <f t="shared" si="13"/>
        <v>0X0X0</v>
      </c>
      <c r="M96" s="58" t="str">
        <f t="shared" si="15"/>
        <v>0X0X0</v>
      </c>
      <c r="N96" s="4" t="str">
        <f t="shared" si="12"/>
        <v>0X0X0</v>
      </c>
      <c r="O96" s="5">
        <f t="shared" si="14"/>
        <v>0</v>
      </c>
      <c r="P96" s="9"/>
      <c r="Q96" s="9"/>
      <c r="R96" s="13"/>
      <c r="S96" s="13"/>
      <c r="T96" s="13"/>
      <c r="U96" s="5"/>
    </row>
    <row r="97" spans="1:21" ht="20.100000000000001" customHeight="1" x14ac:dyDescent="0.2">
      <c r="A97" s="21"/>
      <c r="B97" s="5"/>
      <c r="C97" s="5"/>
      <c r="D97" s="9"/>
      <c r="E97" s="9"/>
      <c r="F97" s="9"/>
      <c r="G97" s="9"/>
      <c r="H97" s="9">
        <f t="shared" si="16"/>
        <v>0</v>
      </c>
      <c r="I97" s="9">
        <f t="shared" si="17"/>
        <v>0</v>
      </c>
      <c r="J97" s="9" t="str">
        <f t="shared" si="11"/>
        <v>-</v>
      </c>
      <c r="K97" s="52" t="str">
        <f>IFERROR(VLOOKUP(J97,MASTER!C:D,2,0),"")</f>
        <v/>
      </c>
      <c r="L97" s="4" t="str">
        <f t="shared" si="13"/>
        <v>0X0X0</v>
      </c>
      <c r="M97" s="58" t="str">
        <f t="shared" si="15"/>
        <v>0X0X0</v>
      </c>
      <c r="N97" s="4" t="str">
        <f t="shared" si="12"/>
        <v>0X0X0</v>
      </c>
      <c r="O97" s="5">
        <f t="shared" si="14"/>
        <v>0</v>
      </c>
      <c r="P97" s="9"/>
      <c r="Q97" s="9"/>
      <c r="R97" s="13"/>
      <c r="S97" s="13"/>
      <c r="T97" s="13"/>
      <c r="U97" s="5"/>
    </row>
    <row r="98" spans="1:21" ht="20.100000000000001" customHeight="1" x14ac:dyDescent="0.2">
      <c r="A98" s="21"/>
      <c r="B98" s="5"/>
      <c r="C98" s="5"/>
      <c r="D98" s="9"/>
      <c r="E98" s="9"/>
      <c r="F98" s="9"/>
      <c r="G98" s="9"/>
      <c r="H98" s="9">
        <f t="shared" si="16"/>
        <v>0</v>
      </c>
      <c r="I98" s="9">
        <f t="shared" si="17"/>
        <v>0</v>
      </c>
      <c r="J98" s="9" t="str">
        <f t="shared" si="11"/>
        <v>-</v>
      </c>
      <c r="K98" s="52" t="str">
        <f>IFERROR(VLOOKUP(J98,MASTER!C:D,2,0),"")</f>
        <v/>
      </c>
      <c r="L98" s="4" t="str">
        <f t="shared" si="13"/>
        <v>0X0X0</v>
      </c>
      <c r="M98" s="58" t="str">
        <f t="shared" si="15"/>
        <v>0X0X0</v>
      </c>
      <c r="N98" s="4" t="str">
        <f t="shared" si="12"/>
        <v>0X0X0</v>
      </c>
      <c r="O98" s="5">
        <f t="shared" si="14"/>
        <v>0</v>
      </c>
      <c r="P98" s="9"/>
      <c r="Q98" s="9"/>
      <c r="R98" s="13"/>
      <c r="S98" s="13"/>
      <c r="T98" s="13"/>
      <c r="U98" s="5"/>
    </row>
    <row r="99" spans="1:21" ht="20.100000000000001" customHeight="1" x14ac:dyDescent="0.2">
      <c r="A99" s="21"/>
      <c r="B99" s="5"/>
      <c r="C99" s="5"/>
      <c r="D99" s="9"/>
      <c r="E99" s="9"/>
      <c r="F99" s="9"/>
      <c r="G99" s="9"/>
      <c r="H99" s="9">
        <f t="shared" si="16"/>
        <v>0</v>
      </c>
      <c r="I99" s="9">
        <f t="shared" si="17"/>
        <v>0</v>
      </c>
      <c r="J99" s="9" t="str">
        <f t="shared" si="11"/>
        <v>-</v>
      </c>
      <c r="K99" s="52" t="str">
        <f>IFERROR(VLOOKUP(J99,MASTER!C:D,2,0),"")</f>
        <v/>
      </c>
      <c r="L99" s="4" t="str">
        <f t="shared" si="13"/>
        <v>0X0X0</v>
      </c>
      <c r="M99" s="58" t="str">
        <f t="shared" si="15"/>
        <v>0X0X0</v>
      </c>
      <c r="N99" s="4" t="str">
        <f t="shared" si="12"/>
        <v>0X0X0</v>
      </c>
      <c r="O99" s="5">
        <f t="shared" si="14"/>
        <v>0</v>
      </c>
      <c r="P99" s="9"/>
      <c r="Q99" s="9"/>
      <c r="R99" s="13"/>
      <c r="S99" s="13"/>
      <c r="T99" s="13"/>
      <c r="U99" s="5"/>
    </row>
    <row r="100" spans="1:21" ht="20.100000000000001" customHeight="1" x14ac:dyDescent="0.2">
      <c r="A100" s="21"/>
      <c r="B100" s="5"/>
      <c r="C100" s="5"/>
      <c r="D100" s="9"/>
      <c r="E100" s="9"/>
      <c r="F100" s="9"/>
      <c r="G100" s="9"/>
      <c r="H100" s="9">
        <f t="shared" si="16"/>
        <v>0</v>
      </c>
      <c r="I100" s="9">
        <f t="shared" si="17"/>
        <v>0</v>
      </c>
      <c r="J100" s="9" t="str">
        <f t="shared" si="11"/>
        <v>-</v>
      </c>
      <c r="K100" s="52" t="str">
        <f>IFERROR(VLOOKUP(J100,MASTER!C:D,2,0),"")</f>
        <v/>
      </c>
      <c r="L100" s="4" t="str">
        <f t="shared" si="13"/>
        <v>0X0X0</v>
      </c>
      <c r="M100" s="58" t="str">
        <f t="shared" si="15"/>
        <v>0X0X0</v>
      </c>
      <c r="N100" s="4" t="str">
        <f t="shared" si="12"/>
        <v>0X0X0</v>
      </c>
      <c r="O100" s="5">
        <f t="shared" si="14"/>
        <v>0</v>
      </c>
      <c r="P100" s="9"/>
      <c r="Q100" s="9"/>
      <c r="R100" s="13"/>
      <c r="S100" s="13"/>
      <c r="T100" s="13"/>
      <c r="U100" s="5"/>
    </row>
    <row r="101" spans="1:21" ht="20.100000000000001" customHeight="1" x14ac:dyDescent="0.2">
      <c r="A101" s="21"/>
      <c r="B101" s="5"/>
      <c r="C101" s="5"/>
      <c r="D101" s="9"/>
      <c r="E101" s="9"/>
      <c r="F101" s="9"/>
      <c r="G101" s="9"/>
      <c r="H101" s="9">
        <f t="shared" si="16"/>
        <v>0</v>
      </c>
      <c r="I101" s="9">
        <f t="shared" si="17"/>
        <v>0</v>
      </c>
      <c r="J101" s="9" t="str">
        <f t="shared" ref="J101:J132" si="18">B101&amp;"-"&amp;C101</f>
        <v>-</v>
      </c>
      <c r="K101" s="52" t="str">
        <f>IFERROR(VLOOKUP(J101,MASTER!C:D,2,0),"")</f>
        <v/>
      </c>
      <c r="L101" s="4" t="str">
        <f t="shared" si="13"/>
        <v>0X0X0</v>
      </c>
      <c r="M101" s="58" t="str">
        <f t="shared" si="15"/>
        <v>0X0X0</v>
      </c>
      <c r="N101" s="4" t="str">
        <f t="shared" si="12"/>
        <v>0X0X0</v>
      </c>
      <c r="O101" s="5">
        <f t="shared" si="14"/>
        <v>0</v>
      </c>
      <c r="P101" s="9"/>
      <c r="Q101" s="9"/>
      <c r="R101" s="13"/>
      <c r="S101" s="13"/>
      <c r="T101" s="13"/>
      <c r="U101" s="5"/>
    </row>
    <row r="102" spans="1:21" ht="20.100000000000001" customHeight="1" x14ac:dyDescent="0.2">
      <c r="A102" s="21"/>
      <c r="B102" s="5"/>
      <c r="C102" s="5"/>
      <c r="D102" s="9"/>
      <c r="E102" s="9"/>
      <c r="F102" s="9"/>
      <c r="G102" s="9"/>
      <c r="H102" s="9">
        <f t="shared" si="16"/>
        <v>0</v>
      </c>
      <c r="I102" s="9">
        <f t="shared" si="17"/>
        <v>0</v>
      </c>
      <c r="J102" s="9" t="str">
        <f t="shared" si="18"/>
        <v>-</v>
      </c>
      <c r="K102" s="52" t="str">
        <f>IFERROR(VLOOKUP(J102,MASTER!C:D,2,0),"")</f>
        <v/>
      </c>
      <c r="L102" s="4" t="str">
        <f t="shared" si="13"/>
        <v>0X0X0</v>
      </c>
      <c r="M102" s="58" t="str">
        <f t="shared" si="15"/>
        <v>0X0X0</v>
      </c>
      <c r="N102" s="4" t="str">
        <f t="shared" si="12"/>
        <v>0X0X0</v>
      </c>
      <c r="O102" s="5">
        <f t="shared" si="14"/>
        <v>0</v>
      </c>
      <c r="P102" s="9"/>
      <c r="Q102" s="9"/>
      <c r="R102" s="13"/>
      <c r="S102" s="13"/>
      <c r="T102" s="13"/>
      <c r="U102" s="5"/>
    </row>
    <row r="103" spans="1:21" ht="20.100000000000001" customHeight="1" x14ac:dyDescent="0.2">
      <c r="A103" s="21"/>
      <c r="B103" s="5"/>
      <c r="C103" s="5"/>
      <c r="D103" s="9"/>
      <c r="E103" s="9"/>
      <c r="F103" s="9"/>
      <c r="G103" s="9"/>
      <c r="H103" s="9">
        <f t="shared" si="16"/>
        <v>0</v>
      </c>
      <c r="I103" s="9">
        <f t="shared" si="17"/>
        <v>0</v>
      </c>
      <c r="J103" s="9" t="str">
        <f t="shared" si="18"/>
        <v>-</v>
      </c>
      <c r="K103" s="52" t="str">
        <f>IFERROR(VLOOKUP(J103,MASTER!C:D,2,0),"")</f>
        <v/>
      </c>
      <c r="L103" s="4" t="str">
        <f t="shared" si="13"/>
        <v>0X0X0</v>
      </c>
      <c r="M103" s="58" t="str">
        <f t="shared" si="15"/>
        <v>0X0X0</v>
      </c>
      <c r="N103" s="4" t="str">
        <f t="shared" si="12"/>
        <v>0X0X0</v>
      </c>
      <c r="O103" s="5">
        <f t="shared" si="14"/>
        <v>0</v>
      </c>
      <c r="P103" s="9"/>
      <c r="Q103" s="9"/>
      <c r="R103" s="13"/>
      <c r="S103" s="13"/>
      <c r="T103" s="13"/>
      <c r="U103" s="5"/>
    </row>
    <row r="104" spans="1:21" ht="20.100000000000001" customHeight="1" x14ac:dyDescent="0.2">
      <c r="A104" s="21"/>
      <c r="B104" s="5"/>
      <c r="C104" s="5"/>
      <c r="D104" s="9"/>
      <c r="E104" s="9"/>
      <c r="F104" s="9"/>
      <c r="G104" s="9"/>
      <c r="H104" s="9">
        <f t="shared" si="16"/>
        <v>0</v>
      </c>
      <c r="I104" s="9">
        <f t="shared" si="17"/>
        <v>0</v>
      </c>
      <c r="J104" s="9" t="str">
        <f t="shared" si="18"/>
        <v>-</v>
      </c>
      <c r="K104" s="52" t="str">
        <f>IFERROR(VLOOKUP(J104,MASTER!C:D,2,0),"")</f>
        <v/>
      </c>
      <c r="L104" s="4" t="str">
        <f t="shared" si="13"/>
        <v>0X0X0</v>
      </c>
      <c r="M104" s="58" t="str">
        <f t="shared" si="15"/>
        <v>0X0X0</v>
      </c>
      <c r="N104" s="4" t="str">
        <f t="shared" si="12"/>
        <v>0X0X0</v>
      </c>
      <c r="O104" s="5">
        <f t="shared" si="14"/>
        <v>0</v>
      </c>
      <c r="P104" s="9"/>
      <c r="Q104" s="9"/>
      <c r="R104" s="13"/>
      <c r="S104" s="13"/>
      <c r="T104" s="13"/>
      <c r="U104" s="5"/>
    </row>
    <row r="105" spans="1:21" ht="20.100000000000001" customHeight="1" x14ac:dyDescent="0.2">
      <c r="A105" s="21"/>
      <c r="B105" s="5"/>
      <c r="C105" s="5"/>
      <c r="D105" s="9"/>
      <c r="E105" s="9"/>
      <c r="F105" s="9"/>
      <c r="G105" s="9"/>
      <c r="H105" s="9">
        <f t="shared" si="16"/>
        <v>0</v>
      </c>
      <c r="I105" s="9">
        <f t="shared" si="17"/>
        <v>0</v>
      </c>
      <c r="J105" s="9" t="str">
        <f t="shared" si="18"/>
        <v>-</v>
      </c>
      <c r="K105" s="52" t="str">
        <f>IFERROR(VLOOKUP(J105,MASTER!C:D,2,0),"")</f>
        <v/>
      </c>
      <c r="L105" s="4" t="str">
        <f t="shared" si="13"/>
        <v>0X0X0</v>
      </c>
      <c r="M105" s="58" t="str">
        <f t="shared" si="15"/>
        <v>0X0X0</v>
      </c>
      <c r="N105" s="4" t="str">
        <f t="shared" si="12"/>
        <v>0X0X0</v>
      </c>
      <c r="O105" s="5">
        <f t="shared" si="14"/>
        <v>0</v>
      </c>
      <c r="P105" s="9"/>
      <c r="Q105" s="9"/>
      <c r="R105" s="13"/>
      <c r="S105" s="13"/>
      <c r="T105" s="13"/>
      <c r="U105" s="5"/>
    </row>
    <row r="106" spans="1:21" ht="20.100000000000001" customHeight="1" x14ac:dyDescent="0.2">
      <c r="A106" s="21"/>
      <c r="B106" s="5"/>
      <c r="C106" s="5"/>
      <c r="D106" s="9"/>
      <c r="E106" s="9"/>
      <c r="F106" s="9"/>
      <c r="G106" s="9"/>
      <c r="H106" s="9">
        <f t="shared" si="16"/>
        <v>0</v>
      </c>
      <c r="I106" s="9">
        <f t="shared" si="17"/>
        <v>0</v>
      </c>
      <c r="J106" s="9" t="str">
        <f t="shared" si="18"/>
        <v>-</v>
      </c>
      <c r="K106" s="52" t="str">
        <f>IFERROR(VLOOKUP(J106,MASTER!C:D,2,0),"")</f>
        <v/>
      </c>
      <c r="L106" s="4" t="str">
        <f t="shared" si="13"/>
        <v>0X0X0</v>
      </c>
      <c r="M106" s="58" t="str">
        <f t="shared" si="15"/>
        <v>0X0X0</v>
      </c>
      <c r="N106" s="4" t="str">
        <f t="shared" si="12"/>
        <v>0X0X0</v>
      </c>
      <c r="O106" s="5">
        <f t="shared" si="14"/>
        <v>0</v>
      </c>
      <c r="P106" s="9"/>
      <c r="Q106" s="9"/>
      <c r="R106" s="13"/>
      <c r="S106" s="13"/>
      <c r="T106" s="13"/>
      <c r="U106" s="5"/>
    </row>
    <row r="107" spans="1:21" ht="20.100000000000001" customHeight="1" x14ac:dyDescent="0.2">
      <c r="A107" s="21"/>
      <c r="B107" s="5"/>
      <c r="C107" s="5"/>
      <c r="D107" s="9"/>
      <c r="E107" s="9"/>
      <c r="F107" s="9"/>
      <c r="G107" s="9"/>
      <c r="H107" s="9">
        <f t="shared" si="16"/>
        <v>0</v>
      </c>
      <c r="I107" s="9">
        <f t="shared" si="17"/>
        <v>0</v>
      </c>
      <c r="J107" s="9" t="str">
        <f t="shared" si="18"/>
        <v>-</v>
      </c>
      <c r="K107" s="52" t="str">
        <f>IFERROR(VLOOKUP(J107,MASTER!C:D,2,0),"")</f>
        <v/>
      </c>
      <c r="L107" s="4" t="str">
        <f t="shared" si="13"/>
        <v>0X0X0</v>
      </c>
      <c r="M107" s="58" t="str">
        <f t="shared" si="15"/>
        <v>0X0X0</v>
      </c>
      <c r="N107" s="4" t="str">
        <f t="shared" si="12"/>
        <v>0X0X0</v>
      </c>
      <c r="O107" s="5">
        <f t="shared" si="14"/>
        <v>0</v>
      </c>
      <c r="P107" s="9"/>
      <c r="Q107" s="9"/>
      <c r="R107" s="13"/>
      <c r="S107" s="13"/>
      <c r="T107" s="13"/>
      <c r="U107" s="5"/>
    </row>
    <row r="108" spans="1:21" ht="20.100000000000001" customHeight="1" x14ac:dyDescent="0.2">
      <c r="A108" s="21"/>
      <c r="B108" s="5"/>
      <c r="C108" s="5"/>
      <c r="D108" s="9"/>
      <c r="E108" s="9"/>
      <c r="F108" s="9"/>
      <c r="G108" s="9"/>
      <c r="H108" s="9">
        <f t="shared" si="16"/>
        <v>0</v>
      </c>
      <c r="I108" s="9">
        <f t="shared" si="17"/>
        <v>0</v>
      </c>
      <c r="J108" s="9" t="str">
        <f t="shared" si="18"/>
        <v>-</v>
      </c>
      <c r="K108" s="52" t="str">
        <f>IFERROR(VLOOKUP(J108,MASTER!C:D,2,0),"")</f>
        <v/>
      </c>
      <c r="L108" s="4" t="str">
        <f t="shared" si="13"/>
        <v>0X0X0</v>
      </c>
      <c r="M108" s="58" t="str">
        <f t="shared" si="15"/>
        <v>0X0X0</v>
      </c>
      <c r="N108" s="4" t="str">
        <f t="shared" si="12"/>
        <v>0X0X0</v>
      </c>
      <c r="O108" s="5">
        <f t="shared" si="14"/>
        <v>0</v>
      </c>
      <c r="P108" s="9"/>
      <c r="Q108" s="9"/>
      <c r="R108" s="13"/>
      <c r="S108" s="13"/>
      <c r="T108" s="13"/>
      <c r="U108" s="5"/>
    </row>
    <row r="109" spans="1:21" ht="20.100000000000001" customHeight="1" x14ac:dyDescent="0.2">
      <c r="A109" s="21"/>
      <c r="B109" s="5"/>
      <c r="C109" s="5"/>
      <c r="D109" s="9"/>
      <c r="E109" s="9"/>
      <c r="F109" s="9"/>
      <c r="G109" s="9"/>
      <c r="H109" s="9">
        <f t="shared" si="16"/>
        <v>0</v>
      </c>
      <c r="I109" s="9">
        <f t="shared" si="17"/>
        <v>0</v>
      </c>
      <c r="J109" s="9" t="str">
        <f t="shared" si="18"/>
        <v>-</v>
      </c>
      <c r="K109" s="52" t="str">
        <f>IFERROR(VLOOKUP(J109,MASTER!C:D,2,0),"")</f>
        <v/>
      </c>
      <c r="L109" s="4" t="str">
        <f t="shared" si="13"/>
        <v>0X0X0</v>
      </c>
      <c r="M109" s="58" t="str">
        <f t="shared" si="15"/>
        <v>0X0X0</v>
      </c>
      <c r="N109" s="4" t="str">
        <f t="shared" si="12"/>
        <v>0X0X0</v>
      </c>
      <c r="O109" s="5">
        <f t="shared" si="14"/>
        <v>0</v>
      </c>
      <c r="P109" s="9"/>
      <c r="Q109" s="9"/>
      <c r="R109" s="13"/>
      <c r="S109" s="13"/>
      <c r="T109" s="13"/>
      <c r="U109" s="5"/>
    </row>
    <row r="110" spans="1:21" ht="20.100000000000001" customHeight="1" x14ac:dyDescent="0.2">
      <c r="A110" s="21"/>
      <c r="B110" s="5"/>
      <c r="C110" s="5"/>
      <c r="D110" s="9"/>
      <c r="E110" s="9"/>
      <c r="F110" s="9"/>
      <c r="G110" s="9"/>
      <c r="H110" s="9">
        <f t="shared" si="16"/>
        <v>0</v>
      </c>
      <c r="I110" s="9">
        <f t="shared" si="17"/>
        <v>0</v>
      </c>
      <c r="J110" s="9" t="str">
        <f t="shared" si="18"/>
        <v>-</v>
      </c>
      <c r="K110" s="52" t="str">
        <f>IFERROR(VLOOKUP(J110,MASTER!C:D,2,0),"")</f>
        <v/>
      </c>
      <c r="L110" s="4" t="str">
        <f t="shared" si="13"/>
        <v>0X0X0</v>
      </c>
      <c r="M110" s="58" t="str">
        <f t="shared" si="15"/>
        <v>0X0X0</v>
      </c>
      <c r="N110" s="4" t="str">
        <f t="shared" si="12"/>
        <v>0X0X0</v>
      </c>
      <c r="O110" s="5">
        <f t="shared" si="14"/>
        <v>0</v>
      </c>
      <c r="P110" s="9"/>
      <c r="Q110" s="9"/>
      <c r="R110" s="13"/>
      <c r="S110" s="13"/>
      <c r="T110" s="13"/>
      <c r="U110" s="5"/>
    </row>
    <row r="111" spans="1:21" ht="20.100000000000001" customHeight="1" x14ac:dyDescent="0.2">
      <c r="A111" s="21"/>
      <c r="B111" s="5"/>
      <c r="C111" s="5"/>
      <c r="D111" s="9"/>
      <c r="E111" s="9"/>
      <c r="F111" s="9"/>
      <c r="G111" s="9"/>
      <c r="H111" s="9">
        <f t="shared" si="16"/>
        <v>0</v>
      </c>
      <c r="I111" s="9">
        <f t="shared" si="17"/>
        <v>0</v>
      </c>
      <c r="J111" s="9" t="str">
        <f t="shared" si="18"/>
        <v>-</v>
      </c>
      <c r="K111" s="52" t="str">
        <f>IFERROR(VLOOKUP(J111,MASTER!C:D,2,0),"")</f>
        <v/>
      </c>
      <c r="L111" s="4" t="str">
        <f t="shared" si="13"/>
        <v>0X0X0</v>
      </c>
      <c r="M111" s="58" t="str">
        <f t="shared" si="15"/>
        <v>0X0X0</v>
      </c>
      <c r="N111" s="4" t="str">
        <f t="shared" si="12"/>
        <v>0X0X0</v>
      </c>
      <c r="O111" s="5">
        <f t="shared" si="14"/>
        <v>0</v>
      </c>
      <c r="P111" s="9"/>
      <c r="Q111" s="9"/>
      <c r="R111" s="13"/>
      <c r="S111" s="13"/>
      <c r="T111" s="13"/>
      <c r="U111" s="5"/>
    </row>
    <row r="112" spans="1:21" ht="20.100000000000001" customHeight="1" x14ac:dyDescent="0.2">
      <c r="A112" s="21"/>
      <c r="B112" s="5"/>
      <c r="C112" s="5"/>
      <c r="D112" s="9"/>
      <c r="E112" s="9"/>
      <c r="F112" s="9"/>
      <c r="G112" s="9"/>
      <c r="H112" s="9">
        <f t="shared" si="16"/>
        <v>0</v>
      </c>
      <c r="I112" s="9">
        <f t="shared" si="17"/>
        <v>0</v>
      </c>
      <c r="J112" s="9" t="str">
        <f t="shared" si="18"/>
        <v>-</v>
      </c>
      <c r="K112" s="52" t="str">
        <f>IFERROR(VLOOKUP(J112,MASTER!C:D,2,0),"")</f>
        <v/>
      </c>
      <c r="L112" s="4" t="str">
        <f t="shared" si="13"/>
        <v>0X0X0</v>
      </c>
      <c r="M112" s="58" t="str">
        <f t="shared" si="15"/>
        <v>0X0X0</v>
      </c>
      <c r="N112" s="4" t="str">
        <f t="shared" si="12"/>
        <v>0X0X0</v>
      </c>
      <c r="O112" s="5">
        <f t="shared" si="14"/>
        <v>0</v>
      </c>
      <c r="P112" s="9"/>
      <c r="Q112" s="9"/>
      <c r="R112" s="13"/>
      <c r="S112" s="13"/>
      <c r="T112" s="13"/>
      <c r="U112" s="5"/>
    </row>
    <row r="113" spans="1:21" ht="20.100000000000001" customHeight="1" x14ac:dyDescent="0.2">
      <c r="A113" s="21"/>
      <c r="B113" s="5"/>
      <c r="C113" s="5"/>
      <c r="D113" s="9"/>
      <c r="E113" s="9"/>
      <c r="F113" s="9"/>
      <c r="G113" s="9"/>
      <c r="H113" s="9">
        <f t="shared" si="16"/>
        <v>0</v>
      </c>
      <c r="I113" s="9">
        <f t="shared" si="17"/>
        <v>0</v>
      </c>
      <c r="J113" s="9" t="str">
        <f t="shared" si="18"/>
        <v>-</v>
      </c>
      <c r="K113" s="52" t="str">
        <f>IFERROR(VLOOKUP(J113,MASTER!C:D,2,0),"")</f>
        <v/>
      </c>
      <c r="L113" s="4" t="str">
        <f t="shared" si="13"/>
        <v>0X0X0</v>
      </c>
      <c r="M113" s="58" t="str">
        <f t="shared" si="15"/>
        <v>0X0X0</v>
      </c>
      <c r="N113" s="4" t="str">
        <f t="shared" si="12"/>
        <v>0X0X0</v>
      </c>
      <c r="O113" s="5">
        <f t="shared" si="14"/>
        <v>0</v>
      </c>
      <c r="P113" s="9"/>
      <c r="Q113" s="9"/>
      <c r="R113" s="13"/>
      <c r="S113" s="13"/>
      <c r="T113" s="13"/>
      <c r="U113" s="5"/>
    </row>
    <row r="114" spans="1:21" ht="20.100000000000001" customHeight="1" x14ac:dyDescent="0.2">
      <c r="A114" s="21"/>
      <c r="B114" s="5"/>
      <c r="C114" s="5"/>
      <c r="D114" s="9"/>
      <c r="E114" s="9"/>
      <c r="F114" s="9"/>
      <c r="G114" s="9"/>
      <c r="H114" s="9">
        <f t="shared" si="16"/>
        <v>0</v>
      </c>
      <c r="I114" s="9">
        <f t="shared" si="17"/>
        <v>0</v>
      </c>
      <c r="J114" s="9" t="str">
        <f t="shared" si="18"/>
        <v>-</v>
      </c>
      <c r="K114" s="52" t="str">
        <f>IFERROR(VLOOKUP(J114,MASTER!C:D,2,0),"")</f>
        <v/>
      </c>
      <c r="L114" s="4" t="str">
        <f t="shared" si="13"/>
        <v>0X0X0</v>
      </c>
      <c r="M114" s="58" t="str">
        <f t="shared" si="15"/>
        <v>0X0X0</v>
      </c>
      <c r="N114" s="4" t="str">
        <f t="shared" si="12"/>
        <v>0X0X0</v>
      </c>
      <c r="O114" s="5">
        <f t="shared" si="14"/>
        <v>0</v>
      </c>
      <c r="P114" s="9"/>
      <c r="Q114" s="9"/>
      <c r="R114" s="13"/>
      <c r="S114" s="13"/>
      <c r="T114" s="13"/>
      <c r="U114" s="5"/>
    </row>
    <row r="115" spans="1:21" ht="20.100000000000001" customHeight="1" x14ac:dyDescent="0.2">
      <c r="A115" s="21"/>
      <c r="B115" s="5"/>
      <c r="C115" s="5"/>
      <c r="D115" s="9"/>
      <c r="E115" s="9"/>
      <c r="F115" s="9"/>
      <c r="G115" s="9"/>
      <c r="H115" s="9">
        <f t="shared" si="16"/>
        <v>0</v>
      </c>
      <c r="I115" s="9">
        <f t="shared" si="17"/>
        <v>0</v>
      </c>
      <c r="J115" s="9" t="str">
        <f t="shared" si="18"/>
        <v>-</v>
      </c>
      <c r="K115" s="52" t="str">
        <f>IFERROR(VLOOKUP(J115,MASTER!C:D,2,0),"")</f>
        <v/>
      </c>
      <c r="L115" s="4" t="str">
        <f t="shared" si="13"/>
        <v>0X0X0</v>
      </c>
      <c r="M115" s="58" t="str">
        <f t="shared" si="15"/>
        <v>0X0X0</v>
      </c>
      <c r="N115" s="4" t="str">
        <f t="shared" si="12"/>
        <v>0X0X0</v>
      </c>
      <c r="O115" s="5">
        <f t="shared" si="14"/>
        <v>0</v>
      </c>
      <c r="P115" s="9"/>
      <c r="Q115" s="9"/>
      <c r="R115" s="13"/>
      <c r="S115" s="13"/>
      <c r="T115" s="13"/>
      <c r="U115" s="5"/>
    </row>
    <row r="116" spans="1:21" ht="20.100000000000001" customHeight="1" x14ac:dyDescent="0.2">
      <c r="A116" s="21"/>
      <c r="B116" s="5"/>
      <c r="C116" s="5"/>
      <c r="D116" s="9"/>
      <c r="E116" s="9"/>
      <c r="F116" s="9"/>
      <c r="G116" s="9"/>
      <c r="H116" s="9">
        <f t="shared" si="16"/>
        <v>0</v>
      </c>
      <c r="I116" s="9">
        <f t="shared" si="17"/>
        <v>0</v>
      </c>
      <c r="J116" s="9" t="str">
        <f t="shared" si="18"/>
        <v>-</v>
      </c>
      <c r="K116" s="52" t="str">
        <f>IFERROR(VLOOKUP(J116,MASTER!C:D,2,0),"")</f>
        <v/>
      </c>
      <c r="L116" s="4" t="str">
        <f t="shared" si="13"/>
        <v>0X0X0</v>
      </c>
      <c r="M116" s="58" t="str">
        <f t="shared" si="15"/>
        <v>0X0X0</v>
      </c>
      <c r="N116" s="4" t="str">
        <f t="shared" si="12"/>
        <v>0X0X0</v>
      </c>
      <c r="O116" s="5">
        <f t="shared" si="14"/>
        <v>0</v>
      </c>
      <c r="P116" s="9"/>
      <c r="Q116" s="9"/>
      <c r="R116" s="13"/>
      <c r="S116" s="13"/>
      <c r="T116" s="13"/>
      <c r="U116" s="5"/>
    </row>
    <row r="117" spans="1:21" ht="20.100000000000001" customHeight="1" x14ac:dyDescent="0.2">
      <c r="A117" s="21"/>
      <c r="B117" s="5"/>
      <c r="C117" s="5"/>
      <c r="D117" s="9"/>
      <c r="E117" s="9"/>
      <c r="F117" s="9"/>
      <c r="G117" s="9"/>
      <c r="H117" s="9">
        <f t="shared" si="16"/>
        <v>0</v>
      </c>
      <c r="I117" s="9">
        <f t="shared" si="17"/>
        <v>0</v>
      </c>
      <c r="J117" s="9" t="str">
        <f t="shared" si="18"/>
        <v>-</v>
      </c>
      <c r="K117" s="52" t="str">
        <f>IFERROR(VLOOKUP(J117,MASTER!C:D,2,0),"")</f>
        <v/>
      </c>
      <c r="L117" s="4" t="str">
        <f t="shared" si="13"/>
        <v>0X0X0</v>
      </c>
      <c r="M117" s="58" t="str">
        <f t="shared" si="15"/>
        <v>0X0X0</v>
      </c>
      <c r="N117" s="4" t="str">
        <f t="shared" si="12"/>
        <v>0X0X0</v>
      </c>
      <c r="O117" s="5">
        <f t="shared" si="14"/>
        <v>0</v>
      </c>
      <c r="P117" s="9"/>
      <c r="Q117" s="9"/>
      <c r="R117" s="13"/>
      <c r="S117" s="13"/>
      <c r="T117" s="13"/>
      <c r="U117" s="5"/>
    </row>
    <row r="118" spans="1:21" ht="20.100000000000001" customHeight="1" x14ac:dyDescent="0.2">
      <c r="A118" s="21"/>
      <c r="B118" s="5"/>
      <c r="C118" s="5"/>
      <c r="D118" s="9"/>
      <c r="E118" s="9"/>
      <c r="F118" s="9"/>
      <c r="G118" s="9"/>
      <c r="H118" s="9">
        <f t="shared" si="16"/>
        <v>0</v>
      </c>
      <c r="I118" s="9">
        <f t="shared" si="17"/>
        <v>0</v>
      </c>
      <c r="J118" s="9" t="str">
        <f t="shared" si="18"/>
        <v>-</v>
      </c>
      <c r="K118" s="52" t="str">
        <f>IFERROR(VLOOKUP(J118,MASTER!C:D,2,0),"")</f>
        <v/>
      </c>
      <c r="L118" s="4" t="str">
        <f t="shared" si="13"/>
        <v>0X0X0</v>
      </c>
      <c r="M118" s="58" t="str">
        <f t="shared" si="15"/>
        <v>0X0X0</v>
      </c>
      <c r="N118" s="4" t="str">
        <f t="shared" si="12"/>
        <v>0X0X0</v>
      </c>
      <c r="O118" s="5">
        <f t="shared" si="14"/>
        <v>0</v>
      </c>
      <c r="P118" s="9"/>
      <c r="Q118" s="9"/>
      <c r="R118" s="13"/>
      <c r="S118" s="13"/>
      <c r="T118" s="13"/>
      <c r="U118" s="5"/>
    </row>
    <row r="119" spans="1:21" ht="20.100000000000001" customHeight="1" x14ac:dyDescent="0.2">
      <c r="A119" s="21"/>
      <c r="B119" s="5"/>
      <c r="C119" s="5"/>
      <c r="D119" s="9"/>
      <c r="E119" s="9"/>
      <c r="F119" s="9"/>
      <c r="G119" s="9"/>
      <c r="H119" s="9">
        <f t="shared" si="16"/>
        <v>0</v>
      </c>
      <c r="I119" s="9">
        <f t="shared" si="17"/>
        <v>0</v>
      </c>
      <c r="J119" s="9" t="str">
        <f t="shared" si="18"/>
        <v>-</v>
      </c>
      <c r="K119" s="52" t="str">
        <f>IFERROR(VLOOKUP(J119,MASTER!C:D,2,0),"")</f>
        <v/>
      </c>
      <c r="L119" s="4" t="str">
        <f t="shared" si="13"/>
        <v>0X0X0</v>
      </c>
      <c r="M119" s="58" t="str">
        <f t="shared" si="15"/>
        <v>0X0X0</v>
      </c>
      <c r="N119" s="4" t="str">
        <f t="shared" si="12"/>
        <v>0X0X0</v>
      </c>
      <c r="O119" s="5">
        <f t="shared" si="14"/>
        <v>0</v>
      </c>
      <c r="P119" s="9"/>
      <c r="Q119" s="9"/>
      <c r="R119" s="13"/>
      <c r="S119" s="13"/>
      <c r="T119" s="13"/>
      <c r="U119" s="5"/>
    </row>
    <row r="120" spans="1:21" ht="20.100000000000001" customHeight="1" x14ac:dyDescent="0.2">
      <c r="A120" s="21"/>
      <c r="B120" s="5"/>
      <c r="C120" s="5"/>
      <c r="D120" s="9"/>
      <c r="E120" s="9"/>
      <c r="F120" s="9"/>
      <c r="G120" s="9"/>
      <c r="H120" s="9">
        <f t="shared" si="16"/>
        <v>0</v>
      </c>
      <c r="I120" s="9">
        <f t="shared" si="17"/>
        <v>0</v>
      </c>
      <c r="J120" s="9" t="str">
        <f t="shared" si="18"/>
        <v>-</v>
      </c>
      <c r="K120" s="52" t="str">
        <f>IFERROR(VLOOKUP(J120,MASTER!C:D,2,0),"")</f>
        <v/>
      </c>
      <c r="L120" s="4" t="str">
        <f t="shared" si="13"/>
        <v>0X0X0</v>
      </c>
      <c r="M120" s="58" t="str">
        <f t="shared" si="15"/>
        <v>0X0X0</v>
      </c>
      <c r="N120" s="4" t="str">
        <f t="shared" si="12"/>
        <v>0X0X0</v>
      </c>
      <c r="O120" s="5">
        <f t="shared" si="14"/>
        <v>0</v>
      </c>
      <c r="P120" s="9"/>
      <c r="Q120" s="9"/>
      <c r="R120" s="13"/>
      <c r="S120" s="13"/>
      <c r="T120" s="13"/>
      <c r="U120" s="5"/>
    </row>
    <row r="121" spans="1:21" ht="20.100000000000001" customHeight="1" x14ac:dyDescent="0.2">
      <c r="A121" s="21"/>
      <c r="B121" s="5"/>
      <c r="C121" s="5"/>
      <c r="D121" s="9"/>
      <c r="E121" s="9"/>
      <c r="F121" s="9"/>
      <c r="G121" s="9"/>
      <c r="H121" s="9">
        <f t="shared" si="16"/>
        <v>0</v>
      </c>
      <c r="I121" s="9">
        <f t="shared" si="17"/>
        <v>0</v>
      </c>
      <c r="J121" s="9" t="str">
        <f t="shared" si="18"/>
        <v>-</v>
      </c>
      <c r="K121" s="52" t="str">
        <f>IFERROR(VLOOKUP(J121,MASTER!C:D,2,0),"")</f>
        <v/>
      </c>
      <c r="L121" s="4" t="str">
        <f t="shared" si="13"/>
        <v>0X0X0</v>
      </c>
      <c r="M121" s="58" t="str">
        <f t="shared" si="15"/>
        <v>0X0X0</v>
      </c>
      <c r="N121" s="4" t="str">
        <f t="shared" si="12"/>
        <v>0X0X0</v>
      </c>
      <c r="O121" s="5">
        <f t="shared" si="14"/>
        <v>0</v>
      </c>
      <c r="P121" s="9"/>
      <c r="Q121" s="9"/>
      <c r="R121" s="13"/>
      <c r="S121" s="13"/>
      <c r="T121" s="13"/>
      <c r="U121" s="5"/>
    </row>
    <row r="122" spans="1:21" ht="20.100000000000001" customHeight="1" x14ac:dyDescent="0.2">
      <c r="A122" s="21"/>
      <c r="B122" s="5"/>
      <c r="C122" s="5"/>
      <c r="D122" s="9"/>
      <c r="E122" s="9"/>
      <c r="F122" s="9"/>
      <c r="G122" s="9"/>
      <c r="H122" s="9">
        <f t="shared" si="16"/>
        <v>0</v>
      </c>
      <c r="I122" s="9">
        <f t="shared" si="17"/>
        <v>0</v>
      </c>
      <c r="J122" s="9" t="str">
        <f t="shared" si="18"/>
        <v>-</v>
      </c>
      <c r="K122" s="52" t="str">
        <f>IFERROR(VLOOKUP(J122,MASTER!C:D,2,0),"")</f>
        <v/>
      </c>
      <c r="L122" s="4" t="str">
        <f t="shared" si="13"/>
        <v>0X0X0</v>
      </c>
      <c r="M122" s="58" t="str">
        <f t="shared" si="15"/>
        <v>0X0X0</v>
      </c>
      <c r="N122" s="4" t="str">
        <f t="shared" si="12"/>
        <v>0X0X0</v>
      </c>
      <c r="O122" s="5">
        <f t="shared" si="14"/>
        <v>0</v>
      </c>
      <c r="P122" s="9"/>
      <c r="Q122" s="9"/>
      <c r="R122" s="13"/>
      <c r="S122" s="13"/>
      <c r="T122" s="13"/>
      <c r="U122" s="5"/>
    </row>
    <row r="123" spans="1:21" ht="20.100000000000001" customHeight="1" x14ac:dyDescent="0.2">
      <c r="A123" s="21"/>
      <c r="B123" s="5"/>
      <c r="C123" s="5"/>
      <c r="D123" s="9"/>
      <c r="E123" s="9"/>
      <c r="F123" s="9"/>
      <c r="G123" s="9"/>
      <c r="H123" s="9">
        <f t="shared" si="16"/>
        <v>0</v>
      </c>
      <c r="I123" s="9">
        <f t="shared" si="17"/>
        <v>0</v>
      </c>
      <c r="J123" s="9" t="str">
        <f t="shared" si="18"/>
        <v>-</v>
      </c>
      <c r="K123" s="52" t="str">
        <f>IFERROR(VLOOKUP(J123,MASTER!C:D,2,0),"")</f>
        <v/>
      </c>
      <c r="L123" s="4" t="str">
        <f t="shared" si="13"/>
        <v>0X0X0</v>
      </c>
      <c r="M123" s="58" t="str">
        <f t="shared" si="15"/>
        <v>0X0X0</v>
      </c>
      <c r="N123" s="4" t="str">
        <f t="shared" si="12"/>
        <v>0X0X0</v>
      </c>
      <c r="O123" s="5">
        <f t="shared" si="14"/>
        <v>0</v>
      </c>
      <c r="P123" s="9"/>
      <c r="Q123" s="9"/>
      <c r="R123" s="13"/>
      <c r="S123" s="13"/>
      <c r="T123" s="13"/>
      <c r="U123" s="5"/>
    </row>
    <row r="124" spans="1:21" ht="20.100000000000001" customHeight="1" x14ac:dyDescent="0.2">
      <c r="A124" s="21"/>
      <c r="B124" s="5"/>
      <c r="C124" s="5"/>
      <c r="D124" s="9"/>
      <c r="E124" s="9"/>
      <c r="F124" s="9"/>
      <c r="G124" s="9"/>
      <c r="H124" s="9">
        <f t="shared" si="16"/>
        <v>0</v>
      </c>
      <c r="I124" s="9">
        <f t="shared" si="17"/>
        <v>0</v>
      </c>
      <c r="J124" s="9" t="str">
        <f t="shared" si="18"/>
        <v>-</v>
      </c>
      <c r="K124" s="52" t="str">
        <f>IFERROR(VLOOKUP(J124,MASTER!C:D,2,0),"")</f>
        <v/>
      </c>
      <c r="L124" s="4" t="str">
        <f t="shared" si="13"/>
        <v>0X0X0</v>
      </c>
      <c r="M124" s="58" t="str">
        <f t="shared" si="15"/>
        <v>0X0X0</v>
      </c>
      <c r="N124" s="4" t="str">
        <f t="shared" si="12"/>
        <v>0X0X0</v>
      </c>
      <c r="O124" s="5">
        <f t="shared" si="14"/>
        <v>0</v>
      </c>
      <c r="P124" s="9"/>
      <c r="Q124" s="9"/>
      <c r="R124" s="13"/>
      <c r="S124" s="13"/>
      <c r="T124" s="13"/>
      <c r="U124" s="5"/>
    </row>
    <row r="125" spans="1:21" ht="20.100000000000001" customHeight="1" x14ac:dyDescent="0.2">
      <c r="A125" s="21"/>
      <c r="B125" s="5"/>
      <c r="C125" s="5"/>
      <c r="D125" s="9"/>
      <c r="E125" s="9"/>
      <c r="F125" s="9"/>
      <c r="G125" s="9"/>
      <c r="H125" s="9">
        <f t="shared" si="16"/>
        <v>0</v>
      </c>
      <c r="I125" s="9">
        <f t="shared" si="17"/>
        <v>0</v>
      </c>
      <c r="J125" s="9" t="str">
        <f t="shared" si="18"/>
        <v>-</v>
      </c>
      <c r="K125" s="52" t="str">
        <f>IFERROR(VLOOKUP(J125,MASTER!C:D,2,0),"")</f>
        <v/>
      </c>
      <c r="L125" s="4" t="str">
        <f t="shared" si="13"/>
        <v>0X0X0</v>
      </c>
      <c r="M125" s="58" t="str">
        <f t="shared" si="15"/>
        <v>0X0X0</v>
      </c>
      <c r="N125" s="4" t="str">
        <f t="shared" si="12"/>
        <v>0X0X0</v>
      </c>
      <c r="O125" s="5">
        <f t="shared" si="14"/>
        <v>0</v>
      </c>
      <c r="P125" s="9"/>
      <c r="Q125" s="9"/>
      <c r="R125" s="13"/>
      <c r="S125" s="13"/>
      <c r="T125" s="13"/>
      <c r="U125" s="5"/>
    </row>
    <row r="126" spans="1:21" ht="20.100000000000001" customHeight="1" x14ac:dyDescent="0.2">
      <c r="A126" s="21"/>
      <c r="B126" s="5"/>
      <c r="C126" s="5"/>
      <c r="D126" s="9"/>
      <c r="E126" s="9"/>
      <c r="F126" s="9"/>
      <c r="G126" s="9"/>
      <c r="H126" s="9">
        <f t="shared" si="16"/>
        <v>0</v>
      </c>
      <c r="I126" s="9">
        <f t="shared" si="17"/>
        <v>0</v>
      </c>
      <c r="J126" s="9" t="str">
        <f t="shared" si="18"/>
        <v>-</v>
      </c>
      <c r="K126" s="52" t="str">
        <f>IFERROR(VLOOKUP(J126,MASTER!C:D,2,0),"")</f>
        <v/>
      </c>
      <c r="L126" s="4" t="str">
        <f t="shared" si="13"/>
        <v>0X0X0</v>
      </c>
      <c r="M126" s="58" t="str">
        <f t="shared" si="15"/>
        <v>0X0X0</v>
      </c>
      <c r="N126" s="4" t="str">
        <f t="shared" si="12"/>
        <v>0X0X0</v>
      </c>
      <c r="O126" s="5">
        <f t="shared" si="14"/>
        <v>0</v>
      </c>
      <c r="P126" s="9"/>
      <c r="Q126" s="9"/>
      <c r="R126" s="13"/>
      <c r="S126" s="13"/>
      <c r="T126" s="13"/>
      <c r="U126" s="5"/>
    </row>
    <row r="127" spans="1:21" ht="20.100000000000001" customHeight="1" x14ac:dyDescent="0.2">
      <c r="A127" s="21"/>
      <c r="B127" s="5"/>
      <c r="C127" s="5"/>
      <c r="D127" s="9"/>
      <c r="E127" s="9"/>
      <c r="F127" s="9"/>
      <c r="G127" s="9"/>
      <c r="H127" s="9">
        <f t="shared" si="16"/>
        <v>0</v>
      </c>
      <c r="I127" s="9">
        <f t="shared" si="17"/>
        <v>0</v>
      </c>
      <c r="J127" s="9" t="str">
        <f t="shared" si="18"/>
        <v>-</v>
      </c>
      <c r="K127" s="52" t="str">
        <f>IFERROR(VLOOKUP(J127,MASTER!C:D,2,0),"")</f>
        <v/>
      </c>
      <c r="L127" s="4" t="str">
        <f t="shared" si="13"/>
        <v>0X0X0</v>
      </c>
      <c r="M127" s="58" t="str">
        <f t="shared" si="15"/>
        <v>0X0X0</v>
      </c>
      <c r="N127" s="4" t="str">
        <f t="shared" si="12"/>
        <v>0X0X0</v>
      </c>
      <c r="O127" s="5">
        <f t="shared" si="14"/>
        <v>0</v>
      </c>
      <c r="P127" s="9"/>
      <c r="Q127" s="9"/>
      <c r="R127" s="13"/>
      <c r="S127" s="13"/>
      <c r="T127" s="13"/>
      <c r="U127" s="5"/>
    </row>
    <row r="128" spans="1:21" ht="20.100000000000001" customHeight="1" x14ac:dyDescent="0.2">
      <c r="A128" s="21"/>
      <c r="B128" s="5"/>
      <c r="C128" s="5"/>
      <c r="D128" s="9"/>
      <c r="E128" s="9"/>
      <c r="F128" s="9"/>
      <c r="G128" s="9"/>
      <c r="H128" s="9">
        <f t="shared" si="16"/>
        <v>0</v>
      </c>
      <c r="I128" s="9">
        <f t="shared" si="17"/>
        <v>0</v>
      </c>
      <c r="J128" s="9" t="str">
        <f t="shared" si="18"/>
        <v>-</v>
      </c>
      <c r="K128" s="52" t="str">
        <f>IFERROR(VLOOKUP(J128,MASTER!C:D,2,0),"")</f>
        <v/>
      </c>
      <c r="L128" s="4" t="str">
        <f t="shared" si="13"/>
        <v>0X0X0</v>
      </c>
      <c r="M128" s="58" t="str">
        <f t="shared" si="15"/>
        <v>0X0X0</v>
      </c>
      <c r="N128" s="4" t="str">
        <f t="shared" si="12"/>
        <v>0X0X0</v>
      </c>
      <c r="O128" s="5">
        <f t="shared" si="14"/>
        <v>0</v>
      </c>
      <c r="P128" s="9"/>
      <c r="Q128" s="9"/>
      <c r="R128" s="13"/>
      <c r="S128" s="13"/>
      <c r="T128" s="13"/>
      <c r="U128" s="5"/>
    </row>
    <row r="129" spans="1:21" ht="20.100000000000001" customHeight="1" x14ac:dyDescent="0.2">
      <c r="A129" s="21"/>
      <c r="B129" s="5"/>
      <c r="C129" s="5"/>
      <c r="D129" s="9"/>
      <c r="E129" s="9"/>
      <c r="F129" s="9"/>
      <c r="G129" s="9"/>
      <c r="H129" s="9">
        <f t="shared" si="16"/>
        <v>0</v>
      </c>
      <c r="I129" s="9">
        <f t="shared" si="17"/>
        <v>0</v>
      </c>
      <c r="J129" s="9" t="str">
        <f t="shared" si="18"/>
        <v>-</v>
      </c>
      <c r="K129" s="52" t="str">
        <f>IFERROR(VLOOKUP(J129,MASTER!C:D,2,0),"")</f>
        <v/>
      </c>
      <c r="L129" s="4" t="str">
        <f t="shared" si="13"/>
        <v>0X0X0</v>
      </c>
      <c r="M129" s="58" t="str">
        <f t="shared" si="15"/>
        <v>0X0X0</v>
      </c>
      <c r="N129" s="4" t="str">
        <f t="shared" si="12"/>
        <v>0X0X0</v>
      </c>
      <c r="O129" s="5">
        <f t="shared" si="14"/>
        <v>0</v>
      </c>
      <c r="P129" s="9"/>
      <c r="Q129" s="9"/>
      <c r="R129" s="13"/>
      <c r="S129" s="13"/>
      <c r="T129" s="13"/>
      <c r="U129" s="5"/>
    </row>
    <row r="130" spans="1:21" ht="20.100000000000001" customHeight="1" x14ac:dyDescent="0.2">
      <c r="A130" s="21"/>
      <c r="B130" s="5"/>
      <c r="C130" s="5"/>
      <c r="D130" s="9"/>
      <c r="E130" s="9"/>
      <c r="F130" s="9"/>
      <c r="G130" s="9"/>
      <c r="H130" s="9">
        <f t="shared" si="16"/>
        <v>0</v>
      </c>
      <c r="I130" s="9">
        <f t="shared" si="17"/>
        <v>0</v>
      </c>
      <c r="J130" s="9" t="str">
        <f t="shared" si="18"/>
        <v>-</v>
      </c>
      <c r="K130" s="52" t="str">
        <f>IFERROR(VLOOKUP(J130,MASTER!C:D,2,0),"")</f>
        <v/>
      </c>
      <c r="L130" s="4" t="str">
        <f t="shared" si="13"/>
        <v>0X0X0</v>
      </c>
      <c r="M130" s="58" t="str">
        <f t="shared" si="15"/>
        <v>0X0X0</v>
      </c>
      <c r="N130" s="4" t="str">
        <f t="shared" si="12"/>
        <v>0X0X0</v>
      </c>
      <c r="O130" s="5">
        <f t="shared" si="14"/>
        <v>0</v>
      </c>
      <c r="P130" s="9"/>
      <c r="Q130" s="9"/>
      <c r="R130" s="13"/>
      <c r="S130" s="13"/>
      <c r="T130" s="13"/>
      <c r="U130" s="5"/>
    </row>
    <row r="131" spans="1:21" ht="20.100000000000001" customHeight="1" x14ac:dyDescent="0.2">
      <c r="A131" s="21"/>
      <c r="B131" s="5"/>
      <c r="C131" s="5"/>
      <c r="D131" s="9"/>
      <c r="E131" s="9"/>
      <c r="F131" s="9"/>
      <c r="G131" s="9"/>
      <c r="H131" s="9">
        <f t="shared" si="16"/>
        <v>0</v>
      </c>
      <c r="I131" s="9">
        <f t="shared" si="17"/>
        <v>0</v>
      </c>
      <c r="J131" s="9" t="str">
        <f t="shared" si="18"/>
        <v>-</v>
      </c>
      <c r="K131" s="52" t="str">
        <f>IFERROR(VLOOKUP(J131,MASTER!C:D,2,0),"")</f>
        <v/>
      </c>
      <c r="L131" s="4" t="str">
        <f t="shared" si="13"/>
        <v>0X0X0</v>
      </c>
      <c r="M131" s="58" t="str">
        <f t="shared" si="15"/>
        <v>0X0X0</v>
      </c>
      <c r="N131" s="4" t="str">
        <f t="shared" si="12"/>
        <v>0X0X0</v>
      </c>
      <c r="O131" s="5">
        <f t="shared" si="14"/>
        <v>0</v>
      </c>
      <c r="P131" s="9"/>
      <c r="Q131" s="9"/>
      <c r="R131" s="13"/>
      <c r="S131" s="13"/>
      <c r="T131" s="13"/>
      <c r="U131" s="5"/>
    </row>
    <row r="132" spans="1:21" ht="20.100000000000001" customHeight="1" x14ac:dyDescent="0.2">
      <c r="A132" s="21"/>
      <c r="B132" s="5"/>
      <c r="C132" s="5"/>
      <c r="D132" s="9"/>
      <c r="E132" s="9"/>
      <c r="F132" s="9"/>
      <c r="G132" s="9"/>
      <c r="H132" s="9">
        <f t="shared" si="16"/>
        <v>0</v>
      </c>
      <c r="I132" s="9">
        <f t="shared" si="17"/>
        <v>0</v>
      </c>
      <c r="J132" s="9" t="str">
        <f t="shared" si="18"/>
        <v>-</v>
      </c>
      <c r="K132" s="52" t="str">
        <f>IFERROR(VLOOKUP(J132,MASTER!C:D,2,0),"")</f>
        <v/>
      </c>
      <c r="L132" s="4" t="str">
        <f t="shared" si="13"/>
        <v>0X0X0</v>
      </c>
      <c r="M132" s="58" t="str">
        <f t="shared" si="15"/>
        <v>0X0X0</v>
      </c>
      <c r="N132" s="4" t="str">
        <f t="shared" si="12"/>
        <v>0X0X0</v>
      </c>
      <c r="O132" s="5">
        <f t="shared" si="14"/>
        <v>0</v>
      </c>
      <c r="P132" s="9"/>
      <c r="Q132" s="9"/>
      <c r="R132" s="13"/>
      <c r="S132" s="13"/>
      <c r="T132" s="13"/>
      <c r="U132" s="5"/>
    </row>
    <row r="133" spans="1:21" ht="20.100000000000001" customHeight="1" x14ac:dyDescent="0.2">
      <c r="A133" s="21"/>
      <c r="B133" s="5"/>
      <c r="C133" s="5"/>
      <c r="D133" s="9"/>
      <c r="E133" s="9"/>
      <c r="F133" s="9"/>
      <c r="G133" s="9"/>
      <c r="H133" s="9">
        <f t="shared" si="16"/>
        <v>0</v>
      </c>
      <c r="I133" s="9">
        <f t="shared" si="17"/>
        <v>0</v>
      </c>
      <c r="J133" s="9" t="str">
        <f t="shared" ref="J133:J164" si="19">B133&amp;"-"&amp;C133</f>
        <v>-</v>
      </c>
      <c r="K133" s="52" t="str">
        <f>IFERROR(VLOOKUP(J133,MASTER!C:D,2,0),"")</f>
        <v/>
      </c>
      <c r="L133" s="4" t="str">
        <f t="shared" si="13"/>
        <v>0X0X0</v>
      </c>
      <c r="M133" s="58" t="str">
        <f t="shared" si="15"/>
        <v>0X0X0</v>
      </c>
      <c r="N133" s="4" t="str">
        <f t="shared" ref="N133:N196" si="20">M133</f>
        <v>0X0X0</v>
      </c>
      <c r="O133" s="5">
        <f t="shared" si="14"/>
        <v>0</v>
      </c>
      <c r="P133" s="9"/>
      <c r="Q133" s="9"/>
      <c r="R133" s="13"/>
      <c r="S133" s="13"/>
      <c r="T133" s="13"/>
      <c r="U133" s="5"/>
    </row>
    <row r="134" spans="1:21" ht="20.100000000000001" customHeight="1" x14ac:dyDescent="0.2">
      <c r="A134" s="21"/>
      <c r="B134" s="5"/>
      <c r="C134" s="5"/>
      <c r="D134" s="9"/>
      <c r="E134" s="9"/>
      <c r="F134" s="9"/>
      <c r="G134" s="9"/>
      <c r="H134" s="9">
        <f t="shared" si="16"/>
        <v>0</v>
      </c>
      <c r="I134" s="9">
        <f t="shared" si="17"/>
        <v>0</v>
      </c>
      <c r="J134" s="9" t="str">
        <f t="shared" si="19"/>
        <v>-</v>
      </c>
      <c r="K134" s="52" t="str">
        <f>IFERROR(VLOOKUP(J134,MASTER!C:D,2,0),"")</f>
        <v/>
      </c>
      <c r="L134" s="4" t="str">
        <f t="shared" ref="L134:L197" si="21">IFERROR((H134&amp;"X"&amp;I134&amp;"X"&amp;"0"&amp;F134),"")</f>
        <v>0X0X0</v>
      </c>
      <c r="M134" s="58" t="str">
        <f t="shared" si="15"/>
        <v>0X0X0</v>
      </c>
      <c r="N134" s="4" t="str">
        <f t="shared" si="20"/>
        <v>0X0X0</v>
      </c>
      <c r="O134" s="5">
        <f t="shared" ref="O134:O197" si="22">+G134</f>
        <v>0</v>
      </c>
      <c r="P134" s="9"/>
      <c r="Q134" s="9"/>
      <c r="R134" s="13"/>
      <c r="S134" s="13"/>
      <c r="T134" s="13"/>
      <c r="U134" s="5"/>
    </row>
    <row r="135" spans="1:21" ht="20.100000000000001" customHeight="1" x14ac:dyDescent="0.2">
      <c r="A135" s="21"/>
      <c r="B135" s="5"/>
      <c r="C135" s="5"/>
      <c r="D135" s="9"/>
      <c r="E135" s="9"/>
      <c r="F135" s="9"/>
      <c r="G135" s="9"/>
      <c r="H135" s="9">
        <f t="shared" si="16"/>
        <v>0</v>
      </c>
      <c r="I135" s="9">
        <f t="shared" si="17"/>
        <v>0</v>
      </c>
      <c r="J135" s="9" t="str">
        <f t="shared" si="19"/>
        <v>-</v>
      </c>
      <c r="K135" s="52" t="str">
        <f>IFERROR(VLOOKUP(J135,MASTER!C:D,2,0),"")</f>
        <v/>
      </c>
      <c r="L135" s="4" t="str">
        <f t="shared" si="21"/>
        <v>0X0X0</v>
      </c>
      <c r="M135" s="58" t="str">
        <f t="shared" si="15"/>
        <v>0X0X0</v>
      </c>
      <c r="N135" s="4" t="str">
        <f t="shared" si="20"/>
        <v>0X0X0</v>
      </c>
      <c r="O135" s="5">
        <f t="shared" si="22"/>
        <v>0</v>
      </c>
      <c r="P135" s="9"/>
      <c r="Q135" s="9"/>
      <c r="R135" s="13"/>
      <c r="S135" s="13"/>
      <c r="T135" s="13"/>
      <c r="U135" s="5"/>
    </row>
    <row r="136" spans="1:21" ht="20.100000000000001" customHeight="1" x14ac:dyDescent="0.2">
      <c r="A136" s="21"/>
      <c r="B136" s="5"/>
      <c r="C136" s="5"/>
      <c r="D136" s="9"/>
      <c r="E136" s="9"/>
      <c r="F136" s="9"/>
      <c r="G136" s="9"/>
      <c r="H136" s="9">
        <f t="shared" si="16"/>
        <v>0</v>
      </c>
      <c r="I136" s="9">
        <f t="shared" si="17"/>
        <v>0</v>
      </c>
      <c r="J136" s="9" t="str">
        <f t="shared" si="19"/>
        <v>-</v>
      </c>
      <c r="K136" s="52" t="str">
        <f>IFERROR(VLOOKUP(J136,MASTER!C:D,2,0),"")</f>
        <v/>
      </c>
      <c r="L136" s="4" t="str">
        <f t="shared" si="21"/>
        <v>0X0X0</v>
      </c>
      <c r="M136" s="58" t="str">
        <f t="shared" si="15"/>
        <v>0X0X0</v>
      </c>
      <c r="N136" s="4" t="str">
        <f t="shared" si="20"/>
        <v>0X0X0</v>
      </c>
      <c r="O136" s="5">
        <f t="shared" si="22"/>
        <v>0</v>
      </c>
      <c r="P136" s="9"/>
      <c r="Q136" s="9"/>
      <c r="R136" s="13"/>
      <c r="S136" s="13"/>
      <c r="T136" s="13"/>
      <c r="U136" s="5"/>
    </row>
    <row r="137" spans="1:21" ht="20.100000000000001" customHeight="1" x14ac:dyDescent="0.2">
      <c r="A137" s="21"/>
      <c r="B137" s="5"/>
      <c r="C137" s="5"/>
      <c r="D137" s="9"/>
      <c r="E137" s="9"/>
      <c r="F137" s="9"/>
      <c r="G137" s="9"/>
      <c r="H137" s="9">
        <f t="shared" si="16"/>
        <v>0</v>
      </c>
      <c r="I137" s="9">
        <f t="shared" si="17"/>
        <v>0</v>
      </c>
      <c r="J137" s="9" t="str">
        <f t="shared" si="19"/>
        <v>-</v>
      </c>
      <c r="K137" s="52" t="str">
        <f>IFERROR(VLOOKUP(J137,MASTER!C:D,2,0),"")</f>
        <v/>
      </c>
      <c r="L137" s="4" t="str">
        <f t="shared" si="21"/>
        <v>0X0X0</v>
      </c>
      <c r="M137" s="58" t="str">
        <f t="shared" ref="M137:M200" si="23">IFERROR((K137&amp;L137),"")</f>
        <v>0X0X0</v>
      </c>
      <c r="N137" s="4" t="str">
        <f t="shared" si="20"/>
        <v>0X0X0</v>
      </c>
      <c r="O137" s="5">
        <f t="shared" si="22"/>
        <v>0</v>
      </c>
      <c r="P137" s="9"/>
      <c r="Q137" s="9"/>
      <c r="R137" s="13"/>
      <c r="S137" s="13"/>
      <c r="T137" s="13"/>
      <c r="U137" s="5"/>
    </row>
    <row r="138" spans="1:21" ht="20.100000000000001" customHeight="1" x14ac:dyDescent="0.2">
      <c r="A138" s="21"/>
      <c r="B138" s="5"/>
      <c r="C138" s="5"/>
      <c r="D138" s="9"/>
      <c r="E138" s="9"/>
      <c r="F138" s="9"/>
      <c r="G138" s="9"/>
      <c r="H138" s="9">
        <f t="shared" si="16"/>
        <v>0</v>
      </c>
      <c r="I138" s="9">
        <f t="shared" si="17"/>
        <v>0</v>
      </c>
      <c r="J138" s="9" t="str">
        <f t="shared" si="19"/>
        <v>-</v>
      </c>
      <c r="K138" s="52" t="str">
        <f>IFERROR(VLOOKUP(J138,MASTER!C:D,2,0),"")</f>
        <v/>
      </c>
      <c r="L138" s="4" t="str">
        <f t="shared" si="21"/>
        <v>0X0X0</v>
      </c>
      <c r="M138" s="58" t="str">
        <f t="shared" si="23"/>
        <v>0X0X0</v>
      </c>
      <c r="N138" s="4" t="str">
        <f t="shared" si="20"/>
        <v>0X0X0</v>
      </c>
      <c r="O138" s="5">
        <f t="shared" si="22"/>
        <v>0</v>
      </c>
      <c r="P138" s="9"/>
      <c r="Q138" s="9"/>
      <c r="R138" s="13"/>
      <c r="S138" s="13"/>
      <c r="T138" s="13"/>
      <c r="U138" s="5"/>
    </row>
    <row r="139" spans="1:21" ht="20.100000000000001" customHeight="1" x14ac:dyDescent="0.2">
      <c r="A139" s="21"/>
      <c r="B139" s="5"/>
      <c r="C139" s="5"/>
      <c r="D139" s="9"/>
      <c r="E139" s="9"/>
      <c r="F139" s="9"/>
      <c r="G139" s="9"/>
      <c r="H139" s="9">
        <f t="shared" si="16"/>
        <v>0</v>
      </c>
      <c r="I139" s="9">
        <f t="shared" si="17"/>
        <v>0</v>
      </c>
      <c r="J139" s="9" t="str">
        <f t="shared" si="19"/>
        <v>-</v>
      </c>
      <c r="K139" s="52" t="str">
        <f>IFERROR(VLOOKUP(J139,MASTER!C:D,2,0),"")</f>
        <v/>
      </c>
      <c r="L139" s="4" t="str">
        <f t="shared" si="21"/>
        <v>0X0X0</v>
      </c>
      <c r="M139" s="58" t="str">
        <f t="shared" si="23"/>
        <v>0X0X0</v>
      </c>
      <c r="N139" s="4" t="str">
        <f t="shared" si="20"/>
        <v>0X0X0</v>
      </c>
      <c r="O139" s="5">
        <f t="shared" si="22"/>
        <v>0</v>
      </c>
      <c r="P139" s="9"/>
      <c r="Q139" s="9"/>
      <c r="R139" s="13"/>
      <c r="S139" s="13"/>
      <c r="T139" s="13"/>
      <c r="U139" s="5"/>
    </row>
    <row r="140" spans="1:21" ht="20.100000000000001" customHeight="1" x14ac:dyDescent="0.2">
      <c r="A140" s="21"/>
      <c r="B140" s="5"/>
      <c r="C140" s="5"/>
      <c r="D140" s="9"/>
      <c r="E140" s="9"/>
      <c r="F140" s="9"/>
      <c r="G140" s="9"/>
      <c r="H140" s="9">
        <f t="shared" si="16"/>
        <v>0</v>
      </c>
      <c r="I140" s="9">
        <f t="shared" si="17"/>
        <v>0</v>
      </c>
      <c r="J140" s="9" t="str">
        <f t="shared" si="19"/>
        <v>-</v>
      </c>
      <c r="K140" s="52" t="str">
        <f>IFERROR(VLOOKUP(J140,MASTER!C:D,2,0),"")</f>
        <v/>
      </c>
      <c r="L140" s="4" t="str">
        <f t="shared" si="21"/>
        <v>0X0X0</v>
      </c>
      <c r="M140" s="58" t="str">
        <f t="shared" si="23"/>
        <v>0X0X0</v>
      </c>
      <c r="N140" s="4" t="str">
        <f t="shared" si="20"/>
        <v>0X0X0</v>
      </c>
      <c r="O140" s="5">
        <f t="shared" si="22"/>
        <v>0</v>
      </c>
      <c r="P140" s="9"/>
      <c r="Q140" s="9"/>
      <c r="R140" s="13"/>
      <c r="S140" s="13"/>
      <c r="T140" s="13"/>
      <c r="U140" s="5"/>
    </row>
    <row r="141" spans="1:21" ht="20.100000000000001" customHeight="1" x14ac:dyDescent="0.2">
      <c r="A141" s="21"/>
      <c r="B141" s="5"/>
      <c r="C141" s="5"/>
      <c r="D141" s="9"/>
      <c r="E141" s="9"/>
      <c r="F141" s="9"/>
      <c r="G141" s="9"/>
      <c r="H141" s="9">
        <f t="shared" si="16"/>
        <v>0</v>
      </c>
      <c r="I141" s="9">
        <f t="shared" si="17"/>
        <v>0</v>
      </c>
      <c r="J141" s="9" t="str">
        <f t="shared" si="19"/>
        <v>-</v>
      </c>
      <c r="K141" s="52" t="str">
        <f>IFERROR(VLOOKUP(J141,MASTER!C:D,2,0),"")</f>
        <v/>
      </c>
      <c r="L141" s="4" t="str">
        <f t="shared" si="21"/>
        <v>0X0X0</v>
      </c>
      <c r="M141" s="58" t="str">
        <f t="shared" si="23"/>
        <v>0X0X0</v>
      </c>
      <c r="N141" s="4" t="str">
        <f t="shared" si="20"/>
        <v>0X0X0</v>
      </c>
      <c r="O141" s="5">
        <f t="shared" si="22"/>
        <v>0</v>
      </c>
      <c r="P141" s="9"/>
      <c r="Q141" s="9"/>
      <c r="R141" s="13"/>
      <c r="S141" s="13"/>
      <c r="T141" s="13"/>
      <c r="U141" s="5"/>
    </row>
    <row r="142" spans="1:21" ht="20.100000000000001" customHeight="1" x14ac:dyDescent="0.2">
      <c r="A142" s="21"/>
      <c r="B142" s="5"/>
      <c r="C142" s="5"/>
      <c r="D142" s="9"/>
      <c r="E142" s="9"/>
      <c r="F142" s="9"/>
      <c r="G142" s="9"/>
      <c r="H142" s="9">
        <f t="shared" si="16"/>
        <v>0</v>
      </c>
      <c r="I142" s="9">
        <f t="shared" si="17"/>
        <v>0</v>
      </c>
      <c r="J142" s="9" t="str">
        <f t="shared" si="19"/>
        <v>-</v>
      </c>
      <c r="K142" s="52" t="str">
        <f>IFERROR(VLOOKUP(J142,MASTER!C:D,2,0),"")</f>
        <v/>
      </c>
      <c r="L142" s="4" t="str">
        <f t="shared" si="21"/>
        <v>0X0X0</v>
      </c>
      <c r="M142" s="58" t="str">
        <f t="shared" si="23"/>
        <v>0X0X0</v>
      </c>
      <c r="N142" s="4" t="str">
        <f t="shared" si="20"/>
        <v>0X0X0</v>
      </c>
      <c r="O142" s="5">
        <f t="shared" si="22"/>
        <v>0</v>
      </c>
      <c r="P142" s="9"/>
      <c r="Q142" s="9"/>
      <c r="R142" s="13"/>
      <c r="S142" s="13"/>
      <c r="T142" s="13"/>
      <c r="U142" s="5"/>
    </row>
    <row r="143" spans="1:21" ht="20.100000000000001" customHeight="1" x14ac:dyDescent="0.2">
      <c r="A143" s="21"/>
      <c r="B143" s="5"/>
      <c r="C143" s="5"/>
      <c r="D143" s="9"/>
      <c r="E143" s="9"/>
      <c r="F143" s="9"/>
      <c r="G143" s="9"/>
      <c r="H143" s="9">
        <f t="shared" si="16"/>
        <v>0</v>
      </c>
      <c r="I143" s="9">
        <f t="shared" si="17"/>
        <v>0</v>
      </c>
      <c r="J143" s="9" t="str">
        <f t="shared" si="19"/>
        <v>-</v>
      </c>
      <c r="K143" s="52" t="str">
        <f>IFERROR(VLOOKUP(J143,MASTER!C:D,2,0),"")</f>
        <v/>
      </c>
      <c r="L143" s="4" t="str">
        <f t="shared" si="21"/>
        <v>0X0X0</v>
      </c>
      <c r="M143" s="58" t="str">
        <f t="shared" si="23"/>
        <v>0X0X0</v>
      </c>
      <c r="N143" s="4" t="str">
        <f t="shared" si="20"/>
        <v>0X0X0</v>
      </c>
      <c r="O143" s="5">
        <f t="shared" si="22"/>
        <v>0</v>
      </c>
      <c r="P143" s="9"/>
      <c r="Q143" s="9"/>
      <c r="R143" s="13"/>
      <c r="S143" s="13"/>
      <c r="T143" s="13"/>
      <c r="U143" s="5"/>
    </row>
    <row r="144" spans="1:21" ht="20.100000000000001" customHeight="1" x14ac:dyDescent="0.2">
      <c r="A144" s="21"/>
      <c r="B144" s="5"/>
      <c r="C144" s="5"/>
      <c r="D144" s="9"/>
      <c r="E144" s="9"/>
      <c r="F144" s="9"/>
      <c r="G144" s="9"/>
      <c r="H144" s="9">
        <f t="shared" si="16"/>
        <v>0</v>
      </c>
      <c r="I144" s="9">
        <f t="shared" si="17"/>
        <v>0</v>
      </c>
      <c r="J144" s="9" t="str">
        <f t="shared" si="19"/>
        <v>-</v>
      </c>
      <c r="K144" s="52" t="str">
        <f>IFERROR(VLOOKUP(J144,MASTER!C:D,2,0),"")</f>
        <v/>
      </c>
      <c r="L144" s="4" t="str">
        <f t="shared" si="21"/>
        <v>0X0X0</v>
      </c>
      <c r="M144" s="58" t="str">
        <f t="shared" si="23"/>
        <v>0X0X0</v>
      </c>
      <c r="N144" s="4" t="str">
        <f t="shared" si="20"/>
        <v>0X0X0</v>
      </c>
      <c r="O144" s="5">
        <f t="shared" si="22"/>
        <v>0</v>
      </c>
      <c r="P144" s="9"/>
      <c r="Q144" s="9"/>
      <c r="R144" s="13"/>
      <c r="S144" s="13"/>
      <c r="T144" s="13"/>
      <c r="U144" s="5"/>
    </row>
    <row r="145" spans="1:21" ht="20.100000000000001" customHeight="1" x14ac:dyDescent="0.2">
      <c r="A145" s="21"/>
      <c r="B145" s="5"/>
      <c r="C145" s="5"/>
      <c r="D145" s="9"/>
      <c r="E145" s="9"/>
      <c r="F145" s="9"/>
      <c r="G145" s="9"/>
      <c r="H145" s="9">
        <f t="shared" si="16"/>
        <v>0</v>
      </c>
      <c r="I145" s="9">
        <f t="shared" si="17"/>
        <v>0</v>
      </c>
      <c r="J145" s="9" t="str">
        <f t="shared" si="19"/>
        <v>-</v>
      </c>
      <c r="K145" s="52" t="str">
        <f>IFERROR(VLOOKUP(J145,MASTER!C:D,2,0),"")</f>
        <v/>
      </c>
      <c r="L145" s="4" t="str">
        <f t="shared" si="21"/>
        <v>0X0X0</v>
      </c>
      <c r="M145" s="58" t="str">
        <f t="shared" si="23"/>
        <v>0X0X0</v>
      </c>
      <c r="N145" s="4" t="str">
        <f t="shared" si="20"/>
        <v>0X0X0</v>
      </c>
      <c r="O145" s="5">
        <f t="shared" si="22"/>
        <v>0</v>
      </c>
      <c r="P145" s="9"/>
      <c r="Q145" s="9"/>
      <c r="R145" s="13"/>
      <c r="S145" s="13"/>
      <c r="T145" s="13"/>
      <c r="U145" s="5"/>
    </row>
    <row r="146" spans="1:21" ht="20.100000000000001" customHeight="1" x14ac:dyDescent="0.2">
      <c r="A146" s="21"/>
      <c r="B146" s="5"/>
      <c r="C146" s="5"/>
      <c r="D146" s="9"/>
      <c r="E146" s="9"/>
      <c r="F146" s="9"/>
      <c r="G146" s="9"/>
      <c r="H146" s="9">
        <f t="shared" si="16"/>
        <v>0</v>
      </c>
      <c r="I146" s="9">
        <f t="shared" si="17"/>
        <v>0</v>
      </c>
      <c r="J146" s="9" t="str">
        <f t="shared" si="19"/>
        <v>-</v>
      </c>
      <c r="K146" s="52" t="str">
        <f>IFERROR(VLOOKUP(J146,MASTER!C:D,2,0),"")</f>
        <v/>
      </c>
      <c r="L146" s="4" t="str">
        <f t="shared" si="21"/>
        <v>0X0X0</v>
      </c>
      <c r="M146" s="58" t="str">
        <f t="shared" si="23"/>
        <v>0X0X0</v>
      </c>
      <c r="N146" s="4" t="str">
        <f t="shared" si="20"/>
        <v>0X0X0</v>
      </c>
      <c r="O146" s="5">
        <f t="shared" si="22"/>
        <v>0</v>
      </c>
      <c r="P146" s="9"/>
      <c r="Q146" s="9"/>
      <c r="R146" s="13"/>
      <c r="S146" s="13"/>
      <c r="T146" s="13"/>
      <c r="U146" s="5"/>
    </row>
    <row r="147" spans="1:21" ht="20.100000000000001" customHeight="1" x14ac:dyDescent="0.2">
      <c r="A147" s="21"/>
      <c r="B147" s="5"/>
      <c r="C147" s="5"/>
      <c r="D147" s="9"/>
      <c r="E147" s="9"/>
      <c r="F147" s="9"/>
      <c r="G147" s="9"/>
      <c r="H147" s="9">
        <f t="shared" si="16"/>
        <v>0</v>
      </c>
      <c r="I147" s="9">
        <f t="shared" si="17"/>
        <v>0</v>
      </c>
      <c r="J147" s="9" t="str">
        <f t="shared" si="19"/>
        <v>-</v>
      </c>
      <c r="K147" s="52" t="str">
        <f>IFERROR(VLOOKUP(J147,MASTER!C:D,2,0),"")</f>
        <v/>
      </c>
      <c r="L147" s="4" t="str">
        <f t="shared" si="21"/>
        <v>0X0X0</v>
      </c>
      <c r="M147" s="58" t="str">
        <f t="shared" si="23"/>
        <v>0X0X0</v>
      </c>
      <c r="N147" s="4" t="str">
        <f t="shared" si="20"/>
        <v>0X0X0</v>
      </c>
      <c r="O147" s="5">
        <f t="shared" si="22"/>
        <v>0</v>
      </c>
      <c r="P147" s="9"/>
      <c r="Q147" s="9"/>
      <c r="R147" s="13"/>
      <c r="S147" s="13"/>
      <c r="T147" s="13"/>
      <c r="U147" s="5"/>
    </row>
    <row r="148" spans="1:21" ht="20.100000000000001" customHeight="1" x14ac:dyDescent="0.2">
      <c r="A148" s="21"/>
      <c r="B148" s="5"/>
      <c r="C148" s="5"/>
      <c r="D148" s="9"/>
      <c r="E148" s="9"/>
      <c r="F148" s="9"/>
      <c r="G148" s="9"/>
      <c r="H148" s="9">
        <f t="shared" si="16"/>
        <v>0</v>
      </c>
      <c r="I148" s="9">
        <f t="shared" si="17"/>
        <v>0</v>
      </c>
      <c r="J148" s="9" t="str">
        <f t="shared" si="19"/>
        <v>-</v>
      </c>
      <c r="K148" s="52" t="str">
        <f>IFERROR(VLOOKUP(J148,MASTER!C:D,2,0),"")</f>
        <v/>
      </c>
      <c r="L148" s="4" t="str">
        <f t="shared" si="21"/>
        <v>0X0X0</v>
      </c>
      <c r="M148" s="58" t="str">
        <f t="shared" si="23"/>
        <v>0X0X0</v>
      </c>
      <c r="N148" s="4" t="str">
        <f t="shared" si="20"/>
        <v>0X0X0</v>
      </c>
      <c r="O148" s="5">
        <f t="shared" si="22"/>
        <v>0</v>
      </c>
      <c r="P148" s="9"/>
      <c r="Q148" s="9"/>
      <c r="R148" s="13"/>
      <c r="S148" s="13"/>
      <c r="T148" s="13"/>
      <c r="U148" s="5"/>
    </row>
    <row r="149" spans="1:21" ht="20.100000000000001" customHeight="1" x14ac:dyDescent="0.2">
      <c r="A149" s="21"/>
      <c r="B149" s="5"/>
      <c r="C149" s="5"/>
      <c r="D149" s="9"/>
      <c r="E149" s="9"/>
      <c r="F149" s="9"/>
      <c r="G149" s="9"/>
      <c r="H149" s="9">
        <f t="shared" si="16"/>
        <v>0</v>
      </c>
      <c r="I149" s="9">
        <f t="shared" si="17"/>
        <v>0</v>
      </c>
      <c r="J149" s="9" t="str">
        <f t="shared" si="19"/>
        <v>-</v>
      </c>
      <c r="K149" s="52" t="str">
        <f>IFERROR(VLOOKUP(J149,MASTER!C:D,2,0),"")</f>
        <v/>
      </c>
      <c r="L149" s="4" t="str">
        <f t="shared" si="21"/>
        <v>0X0X0</v>
      </c>
      <c r="M149" s="58" t="str">
        <f t="shared" si="23"/>
        <v>0X0X0</v>
      </c>
      <c r="N149" s="4" t="str">
        <f t="shared" si="20"/>
        <v>0X0X0</v>
      </c>
      <c r="O149" s="5">
        <f t="shared" si="22"/>
        <v>0</v>
      </c>
      <c r="P149" s="9"/>
      <c r="Q149" s="9"/>
      <c r="R149" s="13"/>
      <c r="S149" s="13"/>
      <c r="T149" s="13"/>
      <c r="U149" s="5"/>
    </row>
    <row r="150" spans="1:21" ht="20.100000000000001" customHeight="1" x14ac:dyDescent="0.2">
      <c r="A150" s="21"/>
      <c r="B150" s="5"/>
      <c r="C150" s="5"/>
      <c r="D150" s="9"/>
      <c r="E150" s="9"/>
      <c r="F150" s="9"/>
      <c r="G150" s="9"/>
      <c r="H150" s="9">
        <f t="shared" si="16"/>
        <v>0</v>
      </c>
      <c r="I150" s="9">
        <f t="shared" si="17"/>
        <v>0</v>
      </c>
      <c r="J150" s="9" t="str">
        <f t="shared" si="19"/>
        <v>-</v>
      </c>
      <c r="K150" s="52" t="str">
        <f>IFERROR(VLOOKUP(J150,MASTER!C:D,2,0),"")</f>
        <v/>
      </c>
      <c r="L150" s="4" t="str">
        <f t="shared" si="21"/>
        <v>0X0X0</v>
      </c>
      <c r="M150" s="58" t="str">
        <f t="shared" si="23"/>
        <v>0X0X0</v>
      </c>
      <c r="N150" s="4" t="str">
        <f t="shared" si="20"/>
        <v>0X0X0</v>
      </c>
      <c r="O150" s="5">
        <f t="shared" si="22"/>
        <v>0</v>
      </c>
      <c r="P150" s="9"/>
      <c r="Q150" s="9"/>
      <c r="R150" s="13"/>
      <c r="S150" s="13"/>
      <c r="T150" s="13"/>
      <c r="U150" s="5"/>
    </row>
    <row r="151" spans="1:21" ht="20.100000000000001" customHeight="1" x14ac:dyDescent="0.2">
      <c r="A151" s="21"/>
      <c r="B151" s="5"/>
      <c r="C151" s="5"/>
      <c r="D151" s="9"/>
      <c r="E151" s="9"/>
      <c r="F151" s="9"/>
      <c r="G151" s="9"/>
      <c r="H151" s="9">
        <f t="shared" si="16"/>
        <v>0</v>
      </c>
      <c r="I151" s="9">
        <f t="shared" si="17"/>
        <v>0</v>
      </c>
      <c r="J151" s="9" t="str">
        <f t="shared" si="19"/>
        <v>-</v>
      </c>
      <c r="K151" s="52" t="str">
        <f>IFERROR(VLOOKUP(J151,MASTER!C:D,2,0),"")</f>
        <v/>
      </c>
      <c r="L151" s="4" t="str">
        <f t="shared" si="21"/>
        <v>0X0X0</v>
      </c>
      <c r="M151" s="58" t="str">
        <f t="shared" si="23"/>
        <v>0X0X0</v>
      </c>
      <c r="N151" s="4" t="str">
        <f t="shared" si="20"/>
        <v>0X0X0</v>
      </c>
      <c r="O151" s="5">
        <f t="shared" si="22"/>
        <v>0</v>
      </c>
      <c r="P151" s="9"/>
      <c r="Q151" s="9"/>
      <c r="R151" s="13"/>
      <c r="S151" s="13"/>
      <c r="T151" s="13"/>
      <c r="U151" s="5"/>
    </row>
    <row r="152" spans="1:21" ht="20.100000000000001" customHeight="1" x14ac:dyDescent="0.2">
      <c r="A152" s="21"/>
      <c r="B152" s="5"/>
      <c r="C152" s="5"/>
      <c r="D152" s="9"/>
      <c r="E152" s="9"/>
      <c r="F152" s="9"/>
      <c r="G152" s="9"/>
      <c r="H152" s="9">
        <f t="shared" si="16"/>
        <v>0</v>
      </c>
      <c r="I152" s="9">
        <f t="shared" si="17"/>
        <v>0</v>
      </c>
      <c r="J152" s="9" t="str">
        <f t="shared" si="19"/>
        <v>-</v>
      </c>
      <c r="K152" s="52" t="str">
        <f>IFERROR(VLOOKUP(J152,MASTER!C:D,2,0),"")</f>
        <v/>
      </c>
      <c r="L152" s="4" t="str">
        <f t="shared" si="21"/>
        <v>0X0X0</v>
      </c>
      <c r="M152" s="58" t="str">
        <f t="shared" si="23"/>
        <v>0X0X0</v>
      </c>
      <c r="N152" s="4" t="str">
        <f t="shared" si="20"/>
        <v>0X0X0</v>
      </c>
      <c r="O152" s="5">
        <f t="shared" si="22"/>
        <v>0</v>
      </c>
      <c r="P152" s="9"/>
      <c r="Q152" s="9"/>
      <c r="R152" s="13"/>
      <c r="S152" s="13"/>
      <c r="T152" s="13"/>
      <c r="U152" s="5"/>
    </row>
    <row r="153" spans="1:21" ht="20.100000000000001" customHeight="1" x14ac:dyDescent="0.2">
      <c r="A153" s="21"/>
      <c r="B153" s="5"/>
      <c r="C153" s="5"/>
      <c r="D153" s="9"/>
      <c r="E153" s="9"/>
      <c r="F153" s="9"/>
      <c r="G153" s="9"/>
      <c r="H153" s="9">
        <f t="shared" si="16"/>
        <v>0</v>
      </c>
      <c r="I153" s="9">
        <f t="shared" si="17"/>
        <v>0</v>
      </c>
      <c r="J153" s="9" t="str">
        <f t="shared" si="19"/>
        <v>-</v>
      </c>
      <c r="K153" s="52" t="str">
        <f>IFERROR(VLOOKUP(J153,MASTER!C:D,2,0),"")</f>
        <v/>
      </c>
      <c r="L153" s="4" t="str">
        <f t="shared" si="21"/>
        <v>0X0X0</v>
      </c>
      <c r="M153" s="58" t="str">
        <f t="shared" si="23"/>
        <v>0X0X0</v>
      </c>
      <c r="N153" s="4" t="str">
        <f t="shared" si="20"/>
        <v>0X0X0</v>
      </c>
      <c r="O153" s="5">
        <f t="shared" si="22"/>
        <v>0</v>
      </c>
      <c r="P153" s="9"/>
      <c r="Q153" s="9"/>
      <c r="R153" s="13"/>
      <c r="S153" s="13"/>
      <c r="T153" s="13"/>
      <c r="U153" s="5"/>
    </row>
    <row r="154" spans="1:21" ht="20.100000000000001" customHeight="1" x14ac:dyDescent="0.2">
      <c r="A154" s="21"/>
      <c r="B154" s="5"/>
      <c r="C154" s="5"/>
      <c r="D154" s="9"/>
      <c r="E154" s="9"/>
      <c r="F154" s="9"/>
      <c r="G154" s="9"/>
      <c r="H154" s="9">
        <f t="shared" si="16"/>
        <v>0</v>
      </c>
      <c r="I154" s="9">
        <f t="shared" si="17"/>
        <v>0</v>
      </c>
      <c r="J154" s="9" t="str">
        <f t="shared" si="19"/>
        <v>-</v>
      </c>
      <c r="K154" s="52" t="str">
        <f>IFERROR(VLOOKUP(J154,MASTER!C:D,2,0),"")</f>
        <v/>
      </c>
      <c r="L154" s="4" t="str">
        <f t="shared" si="21"/>
        <v>0X0X0</v>
      </c>
      <c r="M154" s="58" t="str">
        <f t="shared" si="23"/>
        <v>0X0X0</v>
      </c>
      <c r="N154" s="4" t="str">
        <f t="shared" si="20"/>
        <v>0X0X0</v>
      </c>
      <c r="O154" s="5">
        <f t="shared" si="22"/>
        <v>0</v>
      </c>
      <c r="P154" s="9"/>
      <c r="Q154" s="9"/>
      <c r="R154" s="13"/>
      <c r="S154" s="13"/>
      <c r="T154" s="13"/>
      <c r="U154" s="5"/>
    </row>
    <row r="155" spans="1:21" ht="20.100000000000001" customHeight="1" x14ac:dyDescent="0.2">
      <c r="A155" s="21"/>
      <c r="B155" s="5"/>
      <c r="C155" s="5"/>
      <c r="D155" s="9"/>
      <c r="E155" s="9"/>
      <c r="F155" s="9"/>
      <c r="G155" s="9"/>
      <c r="H155" s="9">
        <f t="shared" si="16"/>
        <v>0</v>
      </c>
      <c r="I155" s="9">
        <f t="shared" si="17"/>
        <v>0</v>
      </c>
      <c r="J155" s="9" t="str">
        <f t="shared" si="19"/>
        <v>-</v>
      </c>
      <c r="K155" s="52" t="str">
        <f>IFERROR(VLOOKUP(J155,MASTER!C:D,2,0),"")</f>
        <v/>
      </c>
      <c r="L155" s="4" t="str">
        <f t="shared" si="21"/>
        <v>0X0X0</v>
      </c>
      <c r="M155" s="58" t="str">
        <f t="shared" si="23"/>
        <v>0X0X0</v>
      </c>
      <c r="N155" s="4" t="str">
        <f t="shared" si="20"/>
        <v>0X0X0</v>
      </c>
      <c r="O155" s="5">
        <f t="shared" si="22"/>
        <v>0</v>
      </c>
      <c r="P155" s="9"/>
      <c r="Q155" s="9"/>
      <c r="R155" s="13"/>
      <c r="S155" s="13"/>
      <c r="T155" s="13"/>
      <c r="U155" s="5"/>
    </row>
    <row r="156" spans="1:21" ht="20.100000000000001" customHeight="1" x14ac:dyDescent="0.2">
      <c r="A156" s="21"/>
      <c r="B156" s="5"/>
      <c r="C156" s="5"/>
      <c r="D156" s="9"/>
      <c r="E156" s="9"/>
      <c r="F156" s="9"/>
      <c r="G156" s="9"/>
      <c r="H156" s="9">
        <f t="shared" si="16"/>
        <v>0</v>
      </c>
      <c r="I156" s="9">
        <f t="shared" si="17"/>
        <v>0</v>
      </c>
      <c r="J156" s="9" t="str">
        <f t="shared" si="19"/>
        <v>-</v>
      </c>
      <c r="K156" s="52" t="str">
        <f>IFERROR(VLOOKUP(J156,MASTER!C:D,2,0),"")</f>
        <v/>
      </c>
      <c r="L156" s="4" t="str">
        <f t="shared" si="21"/>
        <v>0X0X0</v>
      </c>
      <c r="M156" s="58" t="str">
        <f t="shared" si="23"/>
        <v>0X0X0</v>
      </c>
      <c r="N156" s="4" t="str">
        <f t="shared" si="20"/>
        <v>0X0X0</v>
      </c>
      <c r="O156" s="5">
        <f t="shared" si="22"/>
        <v>0</v>
      </c>
      <c r="P156" s="9"/>
      <c r="Q156" s="9"/>
      <c r="R156" s="13"/>
      <c r="S156" s="13"/>
      <c r="T156" s="13"/>
      <c r="U156" s="5"/>
    </row>
    <row r="157" spans="1:21" ht="20.100000000000001" customHeight="1" x14ac:dyDescent="0.2">
      <c r="A157" s="21"/>
      <c r="B157" s="5"/>
      <c r="C157" s="5"/>
      <c r="D157" s="9"/>
      <c r="E157" s="9"/>
      <c r="F157" s="9"/>
      <c r="G157" s="9"/>
      <c r="H157" s="9">
        <f t="shared" ref="H157:H202" si="24">IF(D157="",0,IF(VALUE(D157)&gt;VALUE(E157),IF(OR(VALUE(D157)=13,VALUE(D157)=20,VALUE(D157)=72,VALUE(D157)=75,VALUE(D157)=78,VALUE(D157)=80,VALUE(D157)=84),D157,IF(VALUE(D157)&lt;72,72,IF(VALUE(D157)&lt;75,75,IF(VALUE(D157)&lt;78,78,IF(VALUE(D157)&lt;80,80,IF(VALUE(D157)&lt;84,84,IF(VALUE(D157)&gt;84,84,""""))))))),IF(OR(VALUE(D157)=13,VALUE(D157)=20,VALUE(D157)=30,VALUE(D157)=33,VALUE(D157)=36,VALUE(D157)=39,VALUE(D157)=42,VALUE(D157)=45,VALUE(D157)=48,VALUE(D157)=51,VALUE(D157)=54,VALUE(D157)=57,VALUE(D157)=60,VALUE(D157)=63,VALUE(D157)=66,VALUE(D157)=69,VALUE(D157)=72),D157,IF(VALUE(D157)&lt;30,30,IF(VALUE(D157)&lt;33,33,IF(VALUE(D157)&lt;36,36,IF(VALUE(D157)&lt;39,39,IF(VALUE(D157)&lt;42,42,IF(VALUE(D157)&lt;45,45,IF(VALUE(D157)&lt;48,48,IF(VALUE(D157)&lt;51,51,IF(VALUE(D157)&lt;54,54,IF(VALUE(D157)&lt;57,57,IF(VALUE(D157)&lt;60,60,IF(VALUE(D157)&lt;63,63,IF(VALUE(D157)&lt;66,66,IF(VALUE(D157)&lt;69,69,IF(VALUE(D157)&lt;72,72,IF(VALUE(D157)&gt;72,72,"""")))))))))))))))))))</f>
        <v>0</v>
      </c>
      <c r="I157" s="9">
        <f t="shared" ref="I157:I202" si="25">IF(E157="",0,IF(VALUE(D157)&gt;VALUE(E157),IF(OR(VALUE(E157)=13,VALUE(E157)=18,VALUE(E157)=30,VALUE(E157)=33,VALUE(E157)=36,VALUE(E157)=39,VALUE(E157)=42,VALUE(E157)=45,VALUE(E157)=48,VALUE(E157)=51,VALUE(E157)=54,VALUE(E157)=57,VALUE(E157)=60,VALUE(E157)=63,VALUE(E157)=66,VALUE(E157)=69,VALUE(E157)=72),E157,IF(VALUE(E157)&lt;30,30,IF(VALUE(E157)&lt;33,33,IF(VALUE(E157)&lt;36,36,IF(VALUE(E157)&lt;39,39,IF(VALUE(E157)&lt;42,42,IF(VALUE(E157)&lt;45,45,IF(VALUE(E157)&lt;48,48,IF(VALUE(E157)&lt;51,51,IF(VALUE(E157)&lt;54,54,IF(VALUE(E157)&lt;57,57,IF(VALUE(E157)&lt;60,60,IF(VALUE(E157)&lt;63,63,IF(VALUE(E157)&lt;66,66,IF(VALUE(E157)&lt;69,69,IF(VALUE(E157)&lt;72,72,IF(VALUE(E157)&gt;72,72,""""))))))))))))))))),IF(OR(VALUE(E157)=13,VALUE(E157)=18,VALUE(E157)=72,VALUE(E157)=75,VALUE(E157)=78,VALUE(E157)=80,VALUE(E157)=84),E157,IF(VALUE(E157)&lt;72,72,IF(VALUE(E157)&lt;75,75,IF(VALUE(E157)&lt;78,78,IF(VALUE(E157)&lt;80,80,IF(VALUE(E157)&lt;84,84,IF(VALUE(E157)&gt;84,84,"""")))))))))</f>
        <v>0</v>
      </c>
      <c r="J157" s="9" t="str">
        <f t="shared" si="19"/>
        <v>-</v>
      </c>
      <c r="K157" s="52" t="str">
        <f>IFERROR(VLOOKUP(J157,MASTER!C:D,2,0),"")</f>
        <v/>
      </c>
      <c r="L157" s="4" t="str">
        <f t="shared" si="21"/>
        <v>0X0X0</v>
      </c>
      <c r="M157" s="58" t="str">
        <f t="shared" si="23"/>
        <v>0X0X0</v>
      </c>
      <c r="N157" s="4" t="str">
        <f t="shared" si="20"/>
        <v>0X0X0</v>
      </c>
      <c r="O157" s="5">
        <f t="shared" si="22"/>
        <v>0</v>
      </c>
      <c r="P157" s="9"/>
      <c r="Q157" s="9"/>
      <c r="R157" s="13"/>
      <c r="S157" s="13"/>
      <c r="T157" s="13"/>
      <c r="U157" s="5"/>
    </row>
    <row r="158" spans="1:21" ht="20.100000000000001" customHeight="1" x14ac:dyDescent="0.2">
      <c r="A158" s="21"/>
      <c r="B158" s="5"/>
      <c r="C158" s="5"/>
      <c r="D158" s="9"/>
      <c r="E158" s="9"/>
      <c r="F158" s="9"/>
      <c r="G158" s="9"/>
      <c r="H158" s="9">
        <f t="shared" si="24"/>
        <v>0</v>
      </c>
      <c r="I158" s="9">
        <f t="shared" si="25"/>
        <v>0</v>
      </c>
      <c r="J158" s="9" t="str">
        <f t="shared" si="19"/>
        <v>-</v>
      </c>
      <c r="K158" s="52" t="str">
        <f>IFERROR(VLOOKUP(J158,MASTER!C:D,2,0),"")</f>
        <v/>
      </c>
      <c r="L158" s="4" t="str">
        <f t="shared" si="21"/>
        <v>0X0X0</v>
      </c>
      <c r="M158" s="58" t="str">
        <f t="shared" si="23"/>
        <v>0X0X0</v>
      </c>
      <c r="N158" s="4" t="str">
        <f t="shared" si="20"/>
        <v>0X0X0</v>
      </c>
      <c r="O158" s="5">
        <f t="shared" si="22"/>
        <v>0</v>
      </c>
      <c r="P158" s="9"/>
      <c r="Q158" s="9"/>
      <c r="R158" s="13"/>
      <c r="S158" s="13"/>
      <c r="T158" s="13"/>
      <c r="U158" s="5"/>
    </row>
    <row r="159" spans="1:21" ht="20.100000000000001" customHeight="1" x14ac:dyDescent="0.2">
      <c r="A159" s="21"/>
      <c r="B159" s="5"/>
      <c r="C159" s="5"/>
      <c r="D159" s="9"/>
      <c r="E159" s="9"/>
      <c r="F159" s="9"/>
      <c r="G159" s="9"/>
      <c r="H159" s="9">
        <f t="shared" si="24"/>
        <v>0</v>
      </c>
      <c r="I159" s="9">
        <f t="shared" si="25"/>
        <v>0</v>
      </c>
      <c r="J159" s="9" t="str">
        <f t="shared" si="19"/>
        <v>-</v>
      </c>
      <c r="K159" s="52" t="str">
        <f>IFERROR(VLOOKUP(J159,MASTER!C:D,2,0),"")</f>
        <v/>
      </c>
      <c r="L159" s="4" t="str">
        <f t="shared" si="21"/>
        <v>0X0X0</v>
      </c>
      <c r="M159" s="58" t="str">
        <f t="shared" si="23"/>
        <v>0X0X0</v>
      </c>
      <c r="N159" s="4" t="str">
        <f t="shared" si="20"/>
        <v>0X0X0</v>
      </c>
      <c r="O159" s="5">
        <f t="shared" si="22"/>
        <v>0</v>
      </c>
      <c r="P159" s="9"/>
      <c r="Q159" s="9"/>
      <c r="R159" s="13"/>
      <c r="S159" s="13"/>
      <c r="T159" s="13"/>
      <c r="U159" s="5"/>
    </row>
    <row r="160" spans="1:21" ht="20.100000000000001" customHeight="1" x14ac:dyDescent="0.2">
      <c r="A160" s="21"/>
      <c r="B160" s="5"/>
      <c r="C160" s="5"/>
      <c r="D160" s="9"/>
      <c r="E160" s="9"/>
      <c r="F160" s="9"/>
      <c r="G160" s="9"/>
      <c r="H160" s="9">
        <f t="shared" si="24"/>
        <v>0</v>
      </c>
      <c r="I160" s="9">
        <f t="shared" si="25"/>
        <v>0</v>
      </c>
      <c r="J160" s="9" t="str">
        <f t="shared" si="19"/>
        <v>-</v>
      </c>
      <c r="K160" s="52" t="str">
        <f>IFERROR(VLOOKUP(J160,MASTER!C:D,2,0),"")</f>
        <v/>
      </c>
      <c r="L160" s="4" t="str">
        <f t="shared" si="21"/>
        <v>0X0X0</v>
      </c>
      <c r="M160" s="58" t="str">
        <f t="shared" si="23"/>
        <v>0X0X0</v>
      </c>
      <c r="N160" s="4" t="str">
        <f t="shared" si="20"/>
        <v>0X0X0</v>
      </c>
      <c r="O160" s="5">
        <f t="shared" si="22"/>
        <v>0</v>
      </c>
      <c r="P160" s="9"/>
      <c r="Q160" s="9"/>
      <c r="R160" s="13"/>
      <c r="S160" s="13"/>
      <c r="T160" s="13"/>
      <c r="U160" s="5"/>
    </row>
    <row r="161" spans="1:21" ht="20.100000000000001" customHeight="1" x14ac:dyDescent="0.2">
      <c r="A161" s="21"/>
      <c r="B161" s="5"/>
      <c r="C161" s="5"/>
      <c r="D161" s="9"/>
      <c r="E161" s="9"/>
      <c r="F161" s="9"/>
      <c r="G161" s="9"/>
      <c r="H161" s="9">
        <f t="shared" si="24"/>
        <v>0</v>
      </c>
      <c r="I161" s="9">
        <f t="shared" si="25"/>
        <v>0</v>
      </c>
      <c r="J161" s="9" t="str">
        <f t="shared" si="19"/>
        <v>-</v>
      </c>
      <c r="K161" s="52" t="str">
        <f>IFERROR(VLOOKUP(J161,MASTER!C:D,2,0),"")</f>
        <v/>
      </c>
      <c r="L161" s="4" t="str">
        <f t="shared" si="21"/>
        <v>0X0X0</v>
      </c>
      <c r="M161" s="58" t="str">
        <f t="shared" si="23"/>
        <v>0X0X0</v>
      </c>
      <c r="N161" s="4" t="str">
        <f t="shared" si="20"/>
        <v>0X0X0</v>
      </c>
      <c r="O161" s="5">
        <f t="shared" si="22"/>
        <v>0</v>
      </c>
      <c r="P161" s="9"/>
      <c r="Q161" s="9"/>
      <c r="R161" s="13"/>
      <c r="S161" s="13"/>
      <c r="T161" s="13"/>
      <c r="U161" s="5"/>
    </row>
    <row r="162" spans="1:21" ht="20.100000000000001" customHeight="1" x14ac:dyDescent="0.2">
      <c r="A162" s="21"/>
      <c r="B162" s="5"/>
      <c r="C162" s="5"/>
      <c r="D162" s="9"/>
      <c r="E162" s="9"/>
      <c r="F162" s="9"/>
      <c r="G162" s="9"/>
      <c r="H162" s="9">
        <f t="shared" si="24"/>
        <v>0</v>
      </c>
      <c r="I162" s="9">
        <f t="shared" si="25"/>
        <v>0</v>
      </c>
      <c r="J162" s="9" t="str">
        <f t="shared" si="19"/>
        <v>-</v>
      </c>
      <c r="K162" s="52" t="str">
        <f>IFERROR(VLOOKUP(J162,MASTER!C:D,2,0),"")</f>
        <v/>
      </c>
      <c r="L162" s="4" t="str">
        <f t="shared" si="21"/>
        <v>0X0X0</v>
      </c>
      <c r="M162" s="58" t="str">
        <f t="shared" si="23"/>
        <v>0X0X0</v>
      </c>
      <c r="N162" s="4" t="str">
        <f t="shared" si="20"/>
        <v>0X0X0</v>
      </c>
      <c r="O162" s="5">
        <f t="shared" si="22"/>
        <v>0</v>
      </c>
      <c r="P162" s="9"/>
      <c r="Q162" s="9"/>
      <c r="R162" s="13"/>
      <c r="S162" s="13"/>
      <c r="T162" s="13"/>
      <c r="U162" s="5"/>
    </row>
    <row r="163" spans="1:21" ht="20.100000000000001" customHeight="1" x14ac:dyDescent="0.2">
      <c r="A163" s="21"/>
      <c r="B163" s="5"/>
      <c r="C163" s="5"/>
      <c r="D163" s="9"/>
      <c r="E163" s="9"/>
      <c r="F163" s="9"/>
      <c r="G163" s="9"/>
      <c r="H163" s="9">
        <f t="shared" si="24"/>
        <v>0</v>
      </c>
      <c r="I163" s="9">
        <f t="shared" si="25"/>
        <v>0</v>
      </c>
      <c r="J163" s="9" t="str">
        <f t="shared" si="19"/>
        <v>-</v>
      </c>
      <c r="K163" s="52" t="str">
        <f>IFERROR(VLOOKUP(J163,MASTER!C:D,2,0),"")</f>
        <v/>
      </c>
      <c r="L163" s="4" t="str">
        <f t="shared" si="21"/>
        <v>0X0X0</v>
      </c>
      <c r="M163" s="58" t="str">
        <f t="shared" si="23"/>
        <v>0X0X0</v>
      </c>
      <c r="N163" s="4" t="str">
        <f t="shared" si="20"/>
        <v>0X0X0</v>
      </c>
      <c r="O163" s="5">
        <f t="shared" si="22"/>
        <v>0</v>
      </c>
      <c r="P163" s="9"/>
      <c r="Q163" s="9"/>
      <c r="R163" s="13"/>
      <c r="S163" s="13"/>
      <c r="T163" s="13"/>
      <c r="U163" s="5"/>
    </row>
    <row r="164" spans="1:21" ht="20.100000000000001" customHeight="1" x14ac:dyDescent="0.2">
      <c r="A164" s="21"/>
      <c r="B164" s="5"/>
      <c r="C164" s="5"/>
      <c r="D164" s="9"/>
      <c r="E164" s="9"/>
      <c r="F164" s="9"/>
      <c r="G164" s="9"/>
      <c r="H164" s="9">
        <f t="shared" si="24"/>
        <v>0</v>
      </c>
      <c r="I164" s="9">
        <f t="shared" si="25"/>
        <v>0</v>
      </c>
      <c r="J164" s="9" t="str">
        <f t="shared" si="19"/>
        <v>-</v>
      </c>
      <c r="K164" s="52" t="str">
        <f>IFERROR(VLOOKUP(J164,MASTER!C:D,2,0),"")</f>
        <v/>
      </c>
      <c r="L164" s="4" t="str">
        <f t="shared" si="21"/>
        <v>0X0X0</v>
      </c>
      <c r="M164" s="58" t="str">
        <f t="shared" si="23"/>
        <v>0X0X0</v>
      </c>
      <c r="N164" s="4" t="str">
        <f t="shared" si="20"/>
        <v>0X0X0</v>
      </c>
      <c r="O164" s="5">
        <f t="shared" si="22"/>
        <v>0</v>
      </c>
      <c r="P164" s="9"/>
      <c r="Q164" s="9"/>
      <c r="R164" s="13"/>
      <c r="S164" s="13"/>
      <c r="T164" s="13"/>
      <c r="U164" s="5"/>
    </row>
    <row r="165" spans="1:21" ht="20.100000000000001" customHeight="1" x14ac:dyDescent="0.2">
      <c r="A165" s="21"/>
      <c r="B165" s="5"/>
      <c r="C165" s="5"/>
      <c r="D165" s="9"/>
      <c r="E165" s="9"/>
      <c r="F165" s="9"/>
      <c r="G165" s="9"/>
      <c r="H165" s="9">
        <f t="shared" si="24"/>
        <v>0</v>
      </c>
      <c r="I165" s="9">
        <f t="shared" si="25"/>
        <v>0</v>
      </c>
      <c r="J165" s="9" t="str">
        <f t="shared" ref="J165:J196" si="26">B165&amp;"-"&amp;C165</f>
        <v>-</v>
      </c>
      <c r="K165" s="52" t="str">
        <f>IFERROR(VLOOKUP(J165,MASTER!C:D,2,0),"")</f>
        <v/>
      </c>
      <c r="L165" s="4" t="str">
        <f t="shared" si="21"/>
        <v>0X0X0</v>
      </c>
      <c r="M165" s="58" t="str">
        <f t="shared" si="23"/>
        <v>0X0X0</v>
      </c>
      <c r="N165" s="4" t="str">
        <f t="shared" si="20"/>
        <v>0X0X0</v>
      </c>
      <c r="O165" s="5">
        <f t="shared" si="22"/>
        <v>0</v>
      </c>
      <c r="P165" s="9"/>
      <c r="Q165" s="9"/>
      <c r="R165" s="13"/>
      <c r="S165" s="13"/>
      <c r="T165" s="13"/>
      <c r="U165" s="5"/>
    </row>
    <row r="166" spans="1:21" ht="20.100000000000001" customHeight="1" x14ac:dyDescent="0.2">
      <c r="A166" s="21"/>
      <c r="B166" s="5"/>
      <c r="C166" s="5"/>
      <c r="D166" s="9"/>
      <c r="E166" s="9"/>
      <c r="F166" s="9"/>
      <c r="G166" s="9"/>
      <c r="H166" s="9">
        <f t="shared" si="24"/>
        <v>0</v>
      </c>
      <c r="I166" s="9">
        <f t="shared" si="25"/>
        <v>0</v>
      </c>
      <c r="J166" s="9" t="str">
        <f t="shared" si="26"/>
        <v>-</v>
      </c>
      <c r="K166" s="52" t="str">
        <f>IFERROR(VLOOKUP(J166,MASTER!C:D,2,0),"")</f>
        <v/>
      </c>
      <c r="L166" s="4" t="str">
        <f t="shared" si="21"/>
        <v>0X0X0</v>
      </c>
      <c r="M166" s="58" t="str">
        <f t="shared" si="23"/>
        <v>0X0X0</v>
      </c>
      <c r="N166" s="4" t="str">
        <f t="shared" si="20"/>
        <v>0X0X0</v>
      </c>
      <c r="O166" s="5">
        <f t="shared" si="22"/>
        <v>0</v>
      </c>
      <c r="P166" s="9"/>
      <c r="Q166" s="9"/>
      <c r="R166" s="13"/>
      <c r="S166" s="13"/>
      <c r="T166" s="13"/>
      <c r="U166" s="5"/>
    </row>
    <row r="167" spans="1:21" ht="20.100000000000001" customHeight="1" x14ac:dyDescent="0.2">
      <c r="A167" s="21"/>
      <c r="B167" s="5"/>
      <c r="C167" s="5"/>
      <c r="D167" s="9"/>
      <c r="E167" s="9"/>
      <c r="F167" s="9"/>
      <c r="G167" s="9"/>
      <c r="H167" s="9">
        <f t="shared" si="24"/>
        <v>0</v>
      </c>
      <c r="I167" s="9">
        <f t="shared" si="25"/>
        <v>0</v>
      </c>
      <c r="J167" s="9" t="str">
        <f t="shared" si="26"/>
        <v>-</v>
      </c>
      <c r="K167" s="52" t="str">
        <f>IFERROR(VLOOKUP(J167,MASTER!C:D,2,0),"")</f>
        <v/>
      </c>
      <c r="L167" s="4" t="str">
        <f t="shared" si="21"/>
        <v>0X0X0</v>
      </c>
      <c r="M167" s="58" t="str">
        <f t="shared" si="23"/>
        <v>0X0X0</v>
      </c>
      <c r="N167" s="4" t="str">
        <f t="shared" si="20"/>
        <v>0X0X0</v>
      </c>
      <c r="O167" s="5">
        <f t="shared" si="22"/>
        <v>0</v>
      </c>
      <c r="P167" s="9"/>
      <c r="Q167" s="9"/>
      <c r="R167" s="13"/>
      <c r="S167" s="13"/>
      <c r="T167" s="13"/>
      <c r="U167" s="5"/>
    </row>
    <row r="168" spans="1:21" ht="20.100000000000001" customHeight="1" x14ac:dyDescent="0.2">
      <c r="A168" s="21"/>
      <c r="B168" s="5"/>
      <c r="C168" s="5"/>
      <c r="D168" s="9"/>
      <c r="E168" s="9"/>
      <c r="F168" s="9"/>
      <c r="G168" s="9"/>
      <c r="H168" s="9">
        <f t="shared" si="24"/>
        <v>0</v>
      </c>
      <c r="I168" s="9">
        <f t="shared" si="25"/>
        <v>0</v>
      </c>
      <c r="J168" s="9" t="str">
        <f t="shared" si="26"/>
        <v>-</v>
      </c>
      <c r="K168" s="52" t="str">
        <f>IFERROR(VLOOKUP(J168,MASTER!C:D,2,0),"")</f>
        <v/>
      </c>
      <c r="L168" s="4" t="str">
        <f t="shared" si="21"/>
        <v>0X0X0</v>
      </c>
      <c r="M168" s="58" t="str">
        <f t="shared" si="23"/>
        <v>0X0X0</v>
      </c>
      <c r="N168" s="4" t="str">
        <f t="shared" si="20"/>
        <v>0X0X0</v>
      </c>
      <c r="O168" s="5">
        <f t="shared" si="22"/>
        <v>0</v>
      </c>
      <c r="P168" s="9"/>
      <c r="Q168" s="9"/>
      <c r="R168" s="13"/>
      <c r="S168" s="13"/>
      <c r="T168" s="13"/>
      <c r="U168" s="5"/>
    </row>
    <row r="169" spans="1:21" ht="20.100000000000001" customHeight="1" x14ac:dyDescent="0.2">
      <c r="A169" s="21"/>
      <c r="B169" s="5"/>
      <c r="C169" s="5"/>
      <c r="D169" s="9"/>
      <c r="E169" s="9"/>
      <c r="F169" s="9"/>
      <c r="G169" s="9"/>
      <c r="H169" s="9">
        <f t="shared" si="24"/>
        <v>0</v>
      </c>
      <c r="I169" s="9">
        <f t="shared" si="25"/>
        <v>0</v>
      </c>
      <c r="J169" s="9" t="str">
        <f t="shared" si="26"/>
        <v>-</v>
      </c>
      <c r="K169" s="52" t="str">
        <f>IFERROR(VLOOKUP(J169,MASTER!C:D,2,0),"")</f>
        <v/>
      </c>
      <c r="L169" s="4" t="str">
        <f t="shared" si="21"/>
        <v>0X0X0</v>
      </c>
      <c r="M169" s="58" t="str">
        <f t="shared" si="23"/>
        <v>0X0X0</v>
      </c>
      <c r="N169" s="4" t="str">
        <f t="shared" si="20"/>
        <v>0X0X0</v>
      </c>
      <c r="O169" s="5">
        <f t="shared" si="22"/>
        <v>0</v>
      </c>
      <c r="P169" s="9"/>
      <c r="Q169" s="9"/>
      <c r="R169" s="13"/>
      <c r="S169" s="13"/>
      <c r="T169" s="13"/>
      <c r="U169" s="5"/>
    </row>
    <row r="170" spans="1:21" ht="20.100000000000001" customHeight="1" x14ac:dyDescent="0.2">
      <c r="A170" s="21"/>
      <c r="B170" s="5"/>
      <c r="C170" s="5"/>
      <c r="D170" s="9"/>
      <c r="E170" s="9"/>
      <c r="F170" s="9"/>
      <c r="G170" s="9"/>
      <c r="H170" s="9">
        <f t="shared" si="24"/>
        <v>0</v>
      </c>
      <c r="I170" s="9">
        <f t="shared" si="25"/>
        <v>0</v>
      </c>
      <c r="J170" s="9" t="str">
        <f t="shared" si="26"/>
        <v>-</v>
      </c>
      <c r="K170" s="52" t="str">
        <f>IFERROR(VLOOKUP(J170,MASTER!C:D,2,0),"")</f>
        <v/>
      </c>
      <c r="L170" s="4" t="str">
        <f t="shared" si="21"/>
        <v>0X0X0</v>
      </c>
      <c r="M170" s="58" t="str">
        <f t="shared" si="23"/>
        <v>0X0X0</v>
      </c>
      <c r="N170" s="4" t="str">
        <f t="shared" si="20"/>
        <v>0X0X0</v>
      </c>
      <c r="O170" s="5">
        <f t="shared" si="22"/>
        <v>0</v>
      </c>
      <c r="P170" s="9"/>
      <c r="Q170" s="9"/>
      <c r="R170" s="13"/>
      <c r="S170" s="13"/>
      <c r="T170" s="13"/>
      <c r="U170" s="5"/>
    </row>
    <row r="171" spans="1:21" ht="20.100000000000001" customHeight="1" x14ac:dyDescent="0.2">
      <c r="A171" s="21"/>
      <c r="B171" s="5"/>
      <c r="C171" s="5"/>
      <c r="D171" s="9"/>
      <c r="E171" s="9"/>
      <c r="F171" s="9"/>
      <c r="G171" s="9"/>
      <c r="H171" s="9">
        <f t="shared" si="24"/>
        <v>0</v>
      </c>
      <c r="I171" s="9">
        <f t="shared" si="25"/>
        <v>0</v>
      </c>
      <c r="J171" s="9" t="str">
        <f t="shared" si="26"/>
        <v>-</v>
      </c>
      <c r="K171" s="52" t="str">
        <f>IFERROR(VLOOKUP(J171,MASTER!C:D,2,0),"")</f>
        <v/>
      </c>
      <c r="L171" s="4" t="str">
        <f t="shared" si="21"/>
        <v>0X0X0</v>
      </c>
      <c r="M171" s="58" t="str">
        <f t="shared" si="23"/>
        <v>0X0X0</v>
      </c>
      <c r="N171" s="4" t="str">
        <f t="shared" si="20"/>
        <v>0X0X0</v>
      </c>
      <c r="O171" s="5">
        <f t="shared" si="22"/>
        <v>0</v>
      </c>
      <c r="P171" s="9"/>
      <c r="Q171" s="9"/>
      <c r="R171" s="13"/>
      <c r="S171" s="13"/>
      <c r="T171" s="13"/>
      <c r="U171" s="5"/>
    </row>
    <row r="172" spans="1:21" ht="20.100000000000001" customHeight="1" x14ac:dyDescent="0.2">
      <c r="A172" s="21"/>
      <c r="B172" s="5"/>
      <c r="C172" s="5"/>
      <c r="D172" s="9"/>
      <c r="E172" s="9"/>
      <c r="F172" s="9"/>
      <c r="G172" s="9"/>
      <c r="H172" s="9">
        <f t="shared" si="24"/>
        <v>0</v>
      </c>
      <c r="I172" s="9">
        <f t="shared" si="25"/>
        <v>0</v>
      </c>
      <c r="J172" s="9" t="str">
        <f t="shared" si="26"/>
        <v>-</v>
      </c>
      <c r="K172" s="52" t="str">
        <f>IFERROR(VLOOKUP(J172,MASTER!C:D,2,0),"")</f>
        <v/>
      </c>
      <c r="L172" s="4" t="str">
        <f t="shared" si="21"/>
        <v>0X0X0</v>
      </c>
      <c r="M172" s="58" t="str">
        <f t="shared" si="23"/>
        <v>0X0X0</v>
      </c>
      <c r="N172" s="4" t="str">
        <f t="shared" si="20"/>
        <v>0X0X0</v>
      </c>
      <c r="O172" s="5">
        <f t="shared" si="22"/>
        <v>0</v>
      </c>
      <c r="P172" s="9"/>
      <c r="Q172" s="9"/>
      <c r="R172" s="13"/>
      <c r="S172" s="13"/>
      <c r="T172" s="13"/>
      <c r="U172" s="5"/>
    </row>
    <row r="173" spans="1:21" ht="20.100000000000001" customHeight="1" x14ac:dyDescent="0.2">
      <c r="A173" s="21"/>
      <c r="B173" s="5"/>
      <c r="C173" s="5"/>
      <c r="D173" s="9"/>
      <c r="E173" s="9"/>
      <c r="F173" s="9"/>
      <c r="G173" s="9"/>
      <c r="H173" s="9">
        <f t="shared" si="24"/>
        <v>0</v>
      </c>
      <c r="I173" s="9">
        <f t="shared" si="25"/>
        <v>0</v>
      </c>
      <c r="J173" s="9" t="str">
        <f t="shared" si="26"/>
        <v>-</v>
      </c>
      <c r="K173" s="52" t="str">
        <f>IFERROR(VLOOKUP(J173,MASTER!C:D,2,0),"")</f>
        <v/>
      </c>
      <c r="L173" s="4" t="str">
        <f t="shared" si="21"/>
        <v>0X0X0</v>
      </c>
      <c r="M173" s="58" t="str">
        <f t="shared" si="23"/>
        <v>0X0X0</v>
      </c>
      <c r="N173" s="4" t="str">
        <f t="shared" si="20"/>
        <v>0X0X0</v>
      </c>
      <c r="O173" s="5">
        <f t="shared" si="22"/>
        <v>0</v>
      </c>
      <c r="P173" s="9"/>
      <c r="Q173" s="9"/>
      <c r="R173" s="13"/>
      <c r="S173" s="13"/>
      <c r="T173" s="13"/>
      <c r="U173" s="5"/>
    </row>
    <row r="174" spans="1:21" ht="20.100000000000001" customHeight="1" x14ac:dyDescent="0.2">
      <c r="A174" s="21"/>
      <c r="B174" s="5"/>
      <c r="C174" s="5"/>
      <c r="D174" s="9"/>
      <c r="E174" s="9"/>
      <c r="F174" s="9"/>
      <c r="G174" s="9"/>
      <c r="H174" s="9">
        <f t="shared" si="24"/>
        <v>0</v>
      </c>
      <c r="I174" s="9">
        <f t="shared" si="25"/>
        <v>0</v>
      </c>
      <c r="J174" s="9" t="str">
        <f t="shared" si="26"/>
        <v>-</v>
      </c>
      <c r="K174" s="52" t="str">
        <f>IFERROR(VLOOKUP(J174,MASTER!C:D,2,0),"")</f>
        <v/>
      </c>
      <c r="L174" s="4" t="str">
        <f t="shared" si="21"/>
        <v>0X0X0</v>
      </c>
      <c r="M174" s="58" t="str">
        <f t="shared" si="23"/>
        <v>0X0X0</v>
      </c>
      <c r="N174" s="4" t="str">
        <f t="shared" si="20"/>
        <v>0X0X0</v>
      </c>
      <c r="O174" s="5">
        <f t="shared" si="22"/>
        <v>0</v>
      </c>
      <c r="P174" s="9"/>
      <c r="Q174" s="9"/>
      <c r="R174" s="13"/>
      <c r="S174" s="13"/>
      <c r="T174" s="13"/>
      <c r="U174" s="5"/>
    </row>
    <row r="175" spans="1:21" ht="20.100000000000001" customHeight="1" x14ac:dyDescent="0.2">
      <c r="A175" s="21"/>
      <c r="B175" s="5"/>
      <c r="C175" s="5"/>
      <c r="D175" s="9"/>
      <c r="E175" s="9"/>
      <c r="F175" s="9"/>
      <c r="G175" s="9"/>
      <c r="H175" s="9">
        <f t="shared" si="24"/>
        <v>0</v>
      </c>
      <c r="I175" s="9">
        <f t="shared" si="25"/>
        <v>0</v>
      </c>
      <c r="J175" s="9" t="str">
        <f t="shared" si="26"/>
        <v>-</v>
      </c>
      <c r="K175" s="52" t="str">
        <f>IFERROR(VLOOKUP(J175,MASTER!C:D,2,0),"")</f>
        <v/>
      </c>
      <c r="L175" s="4" t="str">
        <f t="shared" si="21"/>
        <v>0X0X0</v>
      </c>
      <c r="M175" s="58" t="str">
        <f t="shared" si="23"/>
        <v>0X0X0</v>
      </c>
      <c r="N175" s="4" t="str">
        <f t="shared" si="20"/>
        <v>0X0X0</v>
      </c>
      <c r="O175" s="5">
        <f t="shared" si="22"/>
        <v>0</v>
      </c>
      <c r="P175" s="9"/>
      <c r="Q175" s="9"/>
      <c r="R175" s="13"/>
      <c r="S175" s="13"/>
      <c r="T175" s="13"/>
      <c r="U175" s="5"/>
    </row>
    <row r="176" spans="1:21" ht="20.100000000000001" customHeight="1" x14ac:dyDescent="0.2">
      <c r="A176" s="21"/>
      <c r="B176" s="5"/>
      <c r="C176" s="5"/>
      <c r="D176" s="9"/>
      <c r="E176" s="9"/>
      <c r="F176" s="9"/>
      <c r="G176" s="9"/>
      <c r="H176" s="9">
        <f t="shared" si="24"/>
        <v>0</v>
      </c>
      <c r="I176" s="9">
        <f t="shared" si="25"/>
        <v>0</v>
      </c>
      <c r="J176" s="9" t="str">
        <f t="shared" si="26"/>
        <v>-</v>
      </c>
      <c r="K176" s="52" t="str">
        <f>IFERROR(VLOOKUP(J176,MASTER!C:D,2,0),"")</f>
        <v/>
      </c>
      <c r="L176" s="4" t="str">
        <f t="shared" si="21"/>
        <v>0X0X0</v>
      </c>
      <c r="M176" s="58" t="str">
        <f t="shared" si="23"/>
        <v>0X0X0</v>
      </c>
      <c r="N176" s="4" t="str">
        <f t="shared" si="20"/>
        <v>0X0X0</v>
      </c>
      <c r="O176" s="5">
        <f t="shared" si="22"/>
        <v>0</v>
      </c>
      <c r="P176" s="9"/>
      <c r="Q176" s="9"/>
      <c r="R176" s="13"/>
      <c r="S176" s="13"/>
      <c r="T176" s="13"/>
      <c r="U176" s="5"/>
    </row>
    <row r="177" spans="1:21" ht="20.100000000000001" customHeight="1" x14ac:dyDescent="0.2">
      <c r="A177" s="21"/>
      <c r="B177" s="5"/>
      <c r="C177" s="5"/>
      <c r="D177" s="9"/>
      <c r="E177" s="9"/>
      <c r="F177" s="9"/>
      <c r="G177" s="9"/>
      <c r="H177" s="9">
        <f t="shared" si="24"/>
        <v>0</v>
      </c>
      <c r="I177" s="9">
        <f t="shared" si="25"/>
        <v>0</v>
      </c>
      <c r="J177" s="9" t="str">
        <f t="shared" si="26"/>
        <v>-</v>
      </c>
      <c r="K177" s="52" t="str">
        <f>IFERROR(VLOOKUP(J177,MASTER!C:D,2,0),"")</f>
        <v/>
      </c>
      <c r="L177" s="4" t="str">
        <f t="shared" si="21"/>
        <v>0X0X0</v>
      </c>
      <c r="M177" s="58" t="str">
        <f t="shared" si="23"/>
        <v>0X0X0</v>
      </c>
      <c r="N177" s="4" t="str">
        <f t="shared" si="20"/>
        <v>0X0X0</v>
      </c>
      <c r="O177" s="5">
        <f t="shared" si="22"/>
        <v>0</v>
      </c>
      <c r="P177" s="9"/>
      <c r="Q177" s="9"/>
      <c r="R177" s="13"/>
      <c r="S177" s="13"/>
      <c r="T177" s="13"/>
      <c r="U177" s="5"/>
    </row>
    <row r="178" spans="1:21" ht="20.100000000000001" customHeight="1" x14ac:dyDescent="0.2">
      <c r="A178" s="21"/>
      <c r="B178" s="5"/>
      <c r="C178" s="5"/>
      <c r="D178" s="9"/>
      <c r="E178" s="9"/>
      <c r="F178" s="9"/>
      <c r="G178" s="9"/>
      <c r="H178" s="9">
        <f t="shared" si="24"/>
        <v>0</v>
      </c>
      <c r="I178" s="9">
        <f t="shared" si="25"/>
        <v>0</v>
      </c>
      <c r="J178" s="9" t="str">
        <f t="shared" si="26"/>
        <v>-</v>
      </c>
      <c r="K178" s="52" t="str">
        <f>IFERROR(VLOOKUP(J178,MASTER!C:D,2,0),"")</f>
        <v/>
      </c>
      <c r="L178" s="4" t="str">
        <f t="shared" si="21"/>
        <v>0X0X0</v>
      </c>
      <c r="M178" s="58" t="str">
        <f t="shared" si="23"/>
        <v>0X0X0</v>
      </c>
      <c r="N178" s="4" t="str">
        <f t="shared" si="20"/>
        <v>0X0X0</v>
      </c>
      <c r="O178" s="5">
        <f t="shared" si="22"/>
        <v>0</v>
      </c>
      <c r="P178" s="9"/>
      <c r="Q178" s="9"/>
      <c r="R178" s="13"/>
      <c r="S178" s="13"/>
      <c r="T178" s="13"/>
      <c r="U178" s="5"/>
    </row>
    <row r="179" spans="1:21" ht="20.100000000000001" customHeight="1" x14ac:dyDescent="0.2">
      <c r="A179" s="21"/>
      <c r="B179" s="5"/>
      <c r="C179" s="5"/>
      <c r="D179" s="9"/>
      <c r="E179" s="9"/>
      <c r="F179" s="9"/>
      <c r="G179" s="9"/>
      <c r="H179" s="9">
        <f t="shared" si="24"/>
        <v>0</v>
      </c>
      <c r="I179" s="9">
        <f t="shared" si="25"/>
        <v>0</v>
      </c>
      <c r="J179" s="9" t="str">
        <f t="shared" si="26"/>
        <v>-</v>
      </c>
      <c r="K179" s="52" t="str">
        <f>IFERROR(VLOOKUP(J179,MASTER!C:D,2,0),"")</f>
        <v/>
      </c>
      <c r="L179" s="4" t="str">
        <f t="shared" si="21"/>
        <v>0X0X0</v>
      </c>
      <c r="M179" s="58" t="str">
        <f t="shared" si="23"/>
        <v>0X0X0</v>
      </c>
      <c r="N179" s="4" t="str">
        <f t="shared" si="20"/>
        <v>0X0X0</v>
      </c>
      <c r="O179" s="5">
        <f t="shared" si="22"/>
        <v>0</v>
      </c>
      <c r="P179" s="9"/>
      <c r="Q179" s="9"/>
      <c r="R179" s="13"/>
      <c r="S179" s="13"/>
      <c r="T179" s="13"/>
      <c r="U179" s="5"/>
    </row>
    <row r="180" spans="1:21" ht="20.100000000000001" customHeight="1" x14ac:dyDescent="0.2">
      <c r="A180" s="21"/>
      <c r="B180" s="5"/>
      <c r="C180" s="5"/>
      <c r="D180" s="9"/>
      <c r="E180" s="9"/>
      <c r="F180" s="9"/>
      <c r="G180" s="9"/>
      <c r="H180" s="9">
        <f t="shared" si="24"/>
        <v>0</v>
      </c>
      <c r="I180" s="9">
        <f t="shared" si="25"/>
        <v>0</v>
      </c>
      <c r="J180" s="9" t="str">
        <f t="shared" si="26"/>
        <v>-</v>
      </c>
      <c r="K180" s="52" t="str">
        <f>IFERROR(VLOOKUP(J180,MASTER!C:D,2,0),"")</f>
        <v/>
      </c>
      <c r="L180" s="4" t="str">
        <f t="shared" si="21"/>
        <v>0X0X0</v>
      </c>
      <c r="M180" s="58" t="str">
        <f t="shared" si="23"/>
        <v>0X0X0</v>
      </c>
      <c r="N180" s="4" t="str">
        <f t="shared" si="20"/>
        <v>0X0X0</v>
      </c>
      <c r="O180" s="5">
        <f t="shared" si="22"/>
        <v>0</v>
      </c>
      <c r="P180" s="9"/>
      <c r="Q180" s="9"/>
      <c r="R180" s="13"/>
      <c r="S180" s="13"/>
      <c r="T180" s="13"/>
      <c r="U180" s="5"/>
    </row>
    <row r="181" spans="1:21" ht="20.100000000000001" customHeight="1" x14ac:dyDescent="0.2">
      <c r="A181" s="21"/>
      <c r="B181" s="5"/>
      <c r="C181" s="5"/>
      <c r="D181" s="9"/>
      <c r="E181" s="9"/>
      <c r="F181" s="9"/>
      <c r="G181" s="9"/>
      <c r="H181" s="9">
        <f t="shared" si="24"/>
        <v>0</v>
      </c>
      <c r="I181" s="9">
        <f t="shared" si="25"/>
        <v>0</v>
      </c>
      <c r="J181" s="9" t="str">
        <f t="shared" si="26"/>
        <v>-</v>
      </c>
      <c r="K181" s="52" t="str">
        <f>IFERROR(VLOOKUP(J181,MASTER!C:D,2,0),"")</f>
        <v/>
      </c>
      <c r="L181" s="4" t="str">
        <f t="shared" si="21"/>
        <v>0X0X0</v>
      </c>
      <c r="M181" s="58" t="str">
        <f t="shared" si="23"/>
        <v>0X0X0</v>
      </c>
      <c r="N181" s="4" t="str">
        <f t="shared" si="20"/>
        <v>0X0X0</v>
      </c>
      <c r="O181" s="5">
        <f t="shared" si="22"/>
        <v>0</v>
      </c>
      <c r="P181" s="9"/>
      <c r="Q181" s="9"/>
      <c r="R181" s="13"/>
      <c r="S181" s="13"/>
      <c r="T181" s="13"/>
      <c r="U181" s="5"/>
    </row>
    <row r="182" spans="1:21" ht="20.100000000000001" customHeight="1" x14ac:dyDescent="0.2">
      <c r="A182" s="21"/>
      <c r="B182" s="5"/>
      <c r="C182" s="5"/>
      <c r="D182" s="9"/>
      <c r="E182" s="9"/>
      <c r="F182" s="9"/>
      <c r="G182" s="9"/>
      <c r="H182" s="9">
        <f t="shared" si="24"/>
        <v>0</v>
      </c>
      <c r="I182" s="9">
        <f t="shared" si="25"/>
        <v>0</v>
      </c>
      <c r="J182" s="9" t="str">
        <f t="shared" si="26"/>
        <v>-</v>
      </c>
      <c r="K182" s="52" t="str">
        <f>IFERROR(VLOOKUP(J182,MASTER!C:D,2,0),"")</f>
        <v/>
      </c>
      <c r="L182" s="4" t="str">
        <f t="shared" si="21"/>
        <v>0X0X0</v>
      </c>
      <c r="M182" s="58" t="str">
        <f t="shared" si="23"/>
        <v>0X0X0</v>
      </c>
      <c r="N182" s="4" t="str">
        <f t="shared" si="20"/>
        <v>0X0X0</v>
      </c>
      <c r="O182" s="5">
        <f t="shared" si="22"/>
        <v>0</v>
      </c>
      <c r="P182" s="9"/>
      <c r="Q182" s="9"/>
      <c r="R182" s="13"/>
      <c r="S182" s="13"/>
      <c r="T182" s="13"/>
      <c r="U182" s="5"/>
    </row>
    <row r="183" spans="1:21" ht="20.100000000000001" customHeight="1" x14ac:dyDescent="0.2">
      <c r="A183" s="21"/>
      <c r="B183" s="5"/>
      <c r="C183" s="5"/>
      <c r="D183" s="9"/>
      <c r="E183" s="9"/>
      <c r="F183" s="9"/>
      <c r="G183" s="9"/>
      <c r="H183" s="9">
        <f t="shared" si="24"/>
        <v>0</v>
      </c>
      <c r="I183" s="9">
        <f t="shared" si="25"/>
        <v>0</v>
      </c>
      <c r="J183" s="9" t="str">
        <f t="shared" si="26"/>
        <v>-</v>
      </c>
      <c r="K183" s="52" t="str">
        <f>IFERROR(VLOOKUP(J183,MASTER!C:D,2,0),"")</f>
        <v/>
      </c>
      <c r="L183" s="4" t="str">
        <f t="shared" si="21"/>
        <v>0X0X0</v>
      </c>
      <c r="M183" s="58" t="str">
        <f t="shared" si="23"/>
        <v>0X0X0</v>
      </c>
      <c r="N183" s="4" t="str">
        <f t="shared" si="20"/>
        <v>0X0X0</v>
      </c>
      <c r="O183" s="5">
        <f t="shared" si="22"/>
        <v>0</v>
      </c>
      <c r="P183" s="9"/>
      <c r="Q183" s="9"/>
      <c r="R183" s="13"/>
      <c r="S183" s="13"/>
      <c r="T183" s="13"/>
      <c r="U183" s="5"/>
    </row>
    <row r="184" spans="1:21" ht="20.100000000000001" customHeight="1" x14ac:dyDescent="0.2">
      <c r="A184" s="21"/>
      <c r="B184" s="5"/>
      <c r="C184" s="5"/>
      <c r="D184" s="9"/>
      <c r="E184" s="9"/>
      <c r="F184" s="9"/>
      <c r="G184" s="9"/>
      <c r="H184" s="9">
        <f t="shared" si="24"/>
        <v>0</v>
      </c>
      <c r="I184" s="9">
        <f t="shared" si="25"/>
        <v>0</v>
      </c>
      <c r="J184" s="9" t="str">
        <f t="shared" si="26"/>
        <v>-</v>
      </c>
      <c r="K184" s="52" t="str">
        <f>IFERROR(VLOOKUP(J184,MASTER!C:D,2,0),"")</f>
        <v/>
      </c>
      <c r="L184" s="4" t="str">
        <f t="shared" si="21"/>
        <v>0X0X0</v>
      </c>
      <c r="M184" s="58" t="str">
        <f t="shared" si="23"/>
        <v>0X0X0</v>
      </c>
      <c r="N184" s="4" t="str">
        <f t="shared" si="20"/>
        <v>0X0X0</v>
      </c>
      <c r="O184" s="5">
        <f t="shared" si="22"/>
        <v>0</v>
      </c>
      <c r="P184" s="9"/>
      <c r="Q184" s="9"/>
      <c r="R184" s="13"/>
      <c r="S184" s="13"/>
      <c r="T184" s="13"/>
      <c r="U184" s="5"/>
    </row>
    <row r="185" spans="1:21" ht="20.100000000000001" customHeight="1" x14ac:dyDescent="0.2">
      <c r="A185" s="21"/>
      <c r="B185" s="5"/>
      <c r="C185" s="5"/>
      <c r="D185" s="9"/>
      <c r="E185" s="9"/>
      <c r="F185" s="9"/>
      <c r="G185" s="9"/>
      <c r="H185" s="9">
        <f t="shared" si="24"/>
        <v>0</v>
      </c>
      <c r="I185" s="9">
        <f t="shared" si="25"/>
        <v>0</v>
      </c>
      <c r="J185" s="9" t="str">
        <f t="shared" si="26"/>
        <v>-</v>
      </c>
      <c r="K185" s="52" t="str">
        <f>IFERROR(VLOOKUP(J185,MASTER!C:D,2,0),"")</f>
        <v/>
      </c>
      <c r="L185" s="4" t="str">
        <f t="shared" si="21"/>
        <v>0X0X0</v>
      </c>
      <c r="M185" s="58" t="str">
        <f t="shared" si="23"/>
        <v>0X0X0</v>
      </c>
      <c r="N185" s="4" t="str">
        <f t="shared" si="20"/>
        <v>0X0X0</v>
      </c>
      <c r="O185" s="5">
        <f t="shared" si="22"/>
        <v>0</v>
      </c>
      <c r="P185" s="9"/>
      <c r="Q185" s="9"/>
      <c r="R185" s="13"/>
      <c r="S185" s="13"/>
      <c r="T185" s="13"/>
      <c r="U185" s="5"/>
    </row>
    <row r="186" spans="1:21" ht="20.100000000000001" customHeight="1" x14ac:dyDescent="0.2">
      <c r="A186" s="21"/>
      <c r="B186" s="5"/>
      <c r="C186" s="5"/>
      <c r="D186" s="9"/>
      <c r="E186" s="9"/>
      <c r="F186" s="9"/>
      <c r="G186" s="9"/>
      <c r="H186" s="9">
        <f t="shared" si="24"/>
        <v>0</v>
      </c>
      <c r="I186" s="9">
        <f t="shared" si="25"/>
        <v>0</v>
      </c>
      <c r="J186" s="9" t="str">
        <f t="shared" si="26"/>
        <v>-</v>
      </c>
      <c r="K186" s="52" t="str">
        <f>IFERROR(VLOOKUP(J186,MASTER!C:D,2,0),"")</f>
        <v/>
      </c>
      <c r="L186" s="4" t="str">
        <f t="shared" si="21"/>
        <v>0X0X0</v>
      </c>
      <c r="M186" s="58" t="str">
        <f t="shared" si="23"/>
        <v>0X0X0</v>
      </c>
      <c r="N186" s="4" t="str">
        <f t="shared" si="20"/>
        <v>0X0X0</v>
      </c>
      <c r="O186" s="5">
        <f t="shared" si="22"/>
        <v>0</v>
      </c>
      <c r="P186" s="9"/>
      <c r="Q186" s="9"/>
      <c r="R186" s="13"/>
      <c r="S186" s="13"/>
      <c r="T186" s="13"/>
      <c r="U186" s="5"/>
    </row>
    <row r="187" spans="1:21" ht="20.100000000000001" customHeight="1" x14ac:dyDescent="0.2">
      <c r="A187" s="21"/>
      <c r="B187" s="5"/>
      <c r="C187" s="5"/>
      <c r="D187" s="9"/>
      <c r="E187" s="9"/>
      <c r="F187" s="9"/>
      <c r="G187" s="9"/>
      <c r="H187" s="9">
        <f t="shared" si="24"/>
        <v>0</v>
      </c>
      <c r="I187" s="9">
        <f t="shared" si="25"/>
        <v>0</v>
      </c>
      <c r="J187" s="9" t="str">
        <f t="shared" si="26"/>
        <v>-</v>
      </c>
      <c r="K187" s="52" t="str">
        <f>IFERROR(VLOOKUP(J187,MASTER!C:D,2,0),"")</f>
        <v/>
      </c>
      <c r="L187" s="4" t="str">
        <f t="shared" si="21"/>
        <v>0X0X0</v>
      </c>
      <c r="M187" s="58" t="str">
        <f t="shared" si="23"/>
        <v>0X0X0</v>
      </c>
      <c r="N187" s="4" t="str">
        <f t="shared" si="20"/>
        <v>0X0X0</v>
      </c>
      <c r="O187" s="5">
        <f t="shared" si="22"/>
        <v>0</v>
      </c>
      <c r="P187" s="9"/>
      <c r="Q187" s="9"/>
      <c r="R187" s="13"/>
      <c r="S187" s="13"/>
      <c r="T187" s="13"/>
      <c r="U187" s="5"/>
    </row>
    <row r="188" spans="1:21" ht="20.100000000000001" customHeight="1" x14ac:dyDescent="0.2">
      <c r="A188" s="21"/>
      <c r="B188" s="5"/>
      <c r="C188" s="5"/>
      <c r="D188" s="9"/>
      <c r="E188" s="9"/>
      <c r="F188" s="9"/>
      <c r="G188" s="9"/>
      <c r="H188" s="9">
        <f t="shared" si="24"/>
        <v>0</v>
      </c>
      <c r="I188" s="9">
        <f t="shared" si="25"/>
        <v>0</v>
      </c>
      <c r="J188" s="9" t="str">
        <f t="shared" si="26"/>
        <v>-</v>
      </c>
      <c r="K188" s="52" t="str">
        <f>IFERROR(VLOOKUP(J188,MASTER!C:D,2,0),"")</f>
        <v/>
      </c>
      <c r="L188" s="4" t="str">
        <f t="shared" si="21"/>
        <v>0X0X0</v>
      </c>
      <c r="M188" s="58" t="str">
        <f t="shared" si="23"/>
        <v>0X0X0</v>
      </c>
      <c r="N188" s="4" t="str">
        <f t="shared" si="20"/>
        <v>0X0X0</v>
      </c>
      <c r="O188" s="5">
        <f t="shared" si="22"/>
        <v>0</v>
      </c>
      <c r="P188" s="9"/>
      <c r="Q188" s="9"/>
      <c r="R188" s="13"/>
      <c r="S188" s="13"/>
      <c r="T188" s="13"/>
      <c r="U188" s="5"/>
    </row>
    <row r="189" spans="1:21" ht="20.100000000000001" customHeight="1" x14ac:dyDescent="0.2">
      <c r="A189" s="21"/>
      <c r="B189" s="5"/>
      <c r="C189" s="5"/>
      <c r="D189" s="9"/>
      <c r="E189" s="9"/>
      <c r="F189" s="9"/>
      <c r="G189" s="9"/>
      <c r="H189" s="9">
        <f t="shared" si="24"/>
        <v>0</v>
      </c>
      <c r="I189" s="9">
        <f t="shared" si="25"/>
        <v>0</v>
      </c>
      <c r="J189" s="9" t="str">
        <f t="shared" si="26"/>
        <v>-</v>
      </c>
      <c r="K189" s="52" t="str">
        <f>IFERROR(VLOOKUP(J189,MASTER!C:D,2,0),"")</f>
        <v/>
      </c>
      <c r="L189" s="4" t="str">
        <f t="shared" si="21"/>
        <v>0X0X0</v>
      </c>
      <c r="M189" s="58" t="str">
        <f t="shared" si="23"/>
        <v>0X0X0</v>
      </c>
      <c r="N189" s="4" t="str">
        <f t="shared" si="20"/>
        <v>0X0X0</v>
      </c>
      <c r="O189" s="5">
        <f t="shared" si="22"/>
        <v>0</v>
      </c>
      <c r="P189" s="9"/>
      <c r="Q189" s="9"/>
      <c r="R189" s="13"/>
      <c r="S189" s="13"/>
      <c r="T189" s="13"/>
      <c r="U189" s="5"/>
    </row>
    <row r="190" spans="1:21" ht="20.100000000000001" customHeight="1" x14ac:dyDescent="0.2">
      <c r="A190" s="21"/>
      <c r="B190" s="5"/>
      <c r="C190" s="5"/>
      <c r="D190" s="9"/>
      <c r="E190" s="9"/>
      <c r="F190" s="9"/>
      <c r="G190" s="9"/>
      <c r="H190" s="9">
        <f t="shared" si="24"/>
        <v>0</v>
      </c>
      <c r="I190" s="9">
        <f t="shared" si="25"/>
        <v>0</v>
      </c>
      <c r="J190" s="9" t="str">
        <f t="shared" si="26"/>
        <v>-</v>
      </c>
      <c r="K190" s="52" t="str">
        <f>IFERROR(VLOOKUP(J190,MASTER!C:D,2,0),"")</f>
        <v/>
      </c>
      <c r="L190" s="4" t="str">
        <f t="shared" si="21"/>
        <v>0X0X0</v>
      </c>
      <c r="M190" s="58" t="str">
        <f t="shared" si="23"/>
        <v>0X0X0</v>
      </c>
      <c r="N190" s="4" t="str">
        <f t="shared" si="20"/>
        <v>0X0X0</v>
      </c>
      <c r="O190" s="5">
        <f t="shared" si="22"/>
        <v>0</v>
      </c>
      <c r="P190" s="9"/>
      <c r="Q190" s="9"/>
      <c r="R190" s="13"/>
      <c r="S190" s="13"/>
      <c r="T190" s="13"/>
      <c r="U190" s="5"/>
    </row>
    <row r="191" spans="1:21" ht="20.100000000000001" customHeight="1" x14ac:dyDescent="0.2">
      <c r="A191" s="21"/>
      <c r="B191" s="5"/>
      <c r="C191" s="5"/>
      <c r="D191" s="9"/>
      <c r="E191" s="9"/>
      <c r="F191" s="9"/>
      <c r="G191" s="9"/>
      <c r="H191" s="9">
        <f t="shared" si="24"/>
        <v>0</v>
      </c>
      <c r="I191" s="9">
        <f t="shared" si="25"/>
        <v>0</v>
      </c>
      <c r="J191" s="9" t="str">
        <f t="shared" si="26"/>
        <v>-</v>
      </c>
      <c r="K191" s="52" t="str">
        <f>IFERROR(VLOOKUP(J191,MASTER!C:D,2,0),"")</f>
        <v/>
      </c>
      <c r="L191" s="4" t="str">
        <f t="shared" si="21"/>
        <v>0X0X0</v>
      </c>
      <c r="M191" s="58" t="str">
        <f t="shared" si="23"/>
        <v>0X0X0</v>
      </c>
      <c r="N191" s="4" t="str">
        <f t="shared" si="20"/>
        <v>0X0X0</v>
      </c>
      <c r="O191" s="5">
        <f t="shared" si="22"/>
        <v>0</v>
      </c>
      <c r="P191" s="9"/>
      <c r="Q191" s="9"/>
      <c r="R191" s="13"/>
      <c r="S191" s="13"/>
      <c r="T191" s="13"/>
      <c r="U191" s="5"/>
    </row>
    <row r="192" spans="1:21" ht="20.100000000000001" customHeight="1" x14ac:dyDescent="0.2">
      <c r="A192" s="21"/>
      <c r="B192" s="5"/>
      <c r="C192" s="5"/>
      <c r="D192" s="9"/>
      <c r="E192" s="9"/>
      <c r="F192" s="9"/>
      <c r="G192" s="9"/>
      <c r="H192" s="9">
        <f t="shared" si="24"/>
        <v>0</v>
      </c>
      <c r="I192" s="9">
        <f t="shared" si="25"/>
        <v>0</v>
      </c>
      <c r="J192" s="9" t="str">
        <f t="shared" si="26"/>
        <v>-</v>
      </c>
      <c r="K192" s="52" t="str">
        <f>IFERROR(VLOOKUP(J192,MASTER!C:D,2,0),"")</f>
        <v/>
      </c>
      <c r="L192" s="4" t="str">
        <f t="shared" si="21"/>
        <v>0X0X0</v>
      </c>
      <c r="M192" s="58" t="str">
        <f t="shared" si="23"/>
        <v>0X0X0</v>
      </c>
      <c r="N192" s="4" t="str">
        <f t="shared" si="20"/>
        <v>0X0X0</v>
      </c>
      <c r="O192" s="5">
        <f t="shared" si="22"/>
        <v>0</v>
      </c>
      <c r="P192" s="9"/>
      <c r="Q192" s="9"/>
      <c r="R192" s="13"/>
      <c r="S192" s="13"/>
      <c r="T192" s="13"/>
      <c r="U192" s="5"/>
    </row>
    <row r="193" spans="1:21" ht="20.100000000000001" customHeight="1" x14ac:dyDescent="0.2">
      <c r="A193" s="21"/>
      <c r="B193" s="5"/>
      <c r="C193" s="5"/>
      <c r="D193" s="9"/>
      <c r="E193" s="9"/>
      <c r="F193" s="9"/>
      <c r="G193" s="9"/>
      <c r="H193" s="9">
        <f t="shared" si="24"/>
        <v>0</v>
      </c>
      <c r="I193" s="9">
        <f t="shared" si="25"/>
        <v>0</v>
      </c>
      <c r="J193" s="9" t="str">
        <f t="shared" si="26"/>
        <v>-</v>
      </c>
      <c r="K193" s="52" t="str">
        <f>IFERROR(VLOOKUP(J193,MASTER!C:D,2,0),"")</f>
        <v/>
      </c>
      <c r="L193" s="4" t="str">
        <f t="shared" si="21"/>
        <v>0X0X0</v>
      </c>
      <c r="M193" s="58" t="str">
        <f t="shared" si="23"/>
        <v>0X0X0</v>
      </c>
      <c r="N193" s="4" t="str">
        <f t="shared" si="20"/>
        <v>0X0X0</v>
      </c>
      <c r="O193" s="5">
        <f t="shared" si="22"/>
        <v>0</v>
      </c>
      <c r="P193" s="9"/>
      <c r="Q193" s="9"/>
      <c r="R193" s="13"/>
      <c r="S193" s="13"/>
      <c r="T193" s="13"/>
      <c r="U193" s="5"/>
    </row>
    <row r="194" spans="1:21" ht="20.100000000000001" customHeight="1" x14ac:dyDescent="0.2">
      <c r="A194" s="21"/>
      <c r="B194" s="5"/>
      <c r="C194" s="5"/>
      <c r="D194" s="9"/>
      <c r="E194" s="9"/>
      <c r="F194" s="9"/>
      <c r="G194" s="9"/>
      <c r="H194" s="9">
        <f t="shared" si="24"/>
        <v>0</v>
      </c>
      <c r="I194" s="9">
        <f t="shared" si="25"/>
        <v>0</v>
      </c>
      <c r="J194" s="9" t="str">
        <f t="shared" si="26"/>
        <v>-</v>
      </c>
      <c r="K194" s="52" t="str">
        <f>IFERROR(VLOOKUP(J194,MASTER!C:D,2,0),"")</f>
        <v/>
      </c>
      <c r="L194" s="4" t="str">
        <f t="shared" si="21"/>
        <v>0X0X0</v>
      </c>
      <c r="M194" s="58" t="str">
        <f t="shared" si="23"/>
        <v>0X0X0</v>
      </c>
      <c r="N194" s="4" t="str">
        <f t="shared" si="20"/>
        <v>0X0X0</v>
      </c>
      <c r="O194" s="5">
        <f t="shared" si="22"/>
        <v>0</v>
      </c>
      <c r="P194" s="9"/>
      <c r="Q194" s="9"/>
      <c r="R194" s="13"/>
      <c r="S194" s="13"/>
      <c r="T194" s="13"/>
      <c r="U194" s="5"/>
    </row>
    <row r="195" spans="1:21" ht="20.100000000000001" customHeight="1" x14ac:dyDescent="0.2">
      <c r="A195" s="21"/>
      <c r="B195" s="5"/>
      <c r="C195" s="5"/>
      <c r="D195" s="9"/>
      <c r="E195" s="9"/>
      <c r="F195" s="9"/>
      <c r="G195" s="9"/>
      <c r="H195" s="9">
        <f t="shared" si="24"/>
        <v>0</v>
      </c>
      <c r="I195" s="9">
        <f t="shared" si="25"/>
        <v>0</v>
      </c>
      <c r="J195" s="9" t="str">
        <f t="shared" si="26"/>
        <v>-</v>
      </c>
      <c r="K195" s="52" t="str">
        <f>IFERROR(VLOOKUP(J195,MASTER!C:D,2,0),"")</f>
        <v/>
      </c>
      <c r="L195" s="4" t="str">
        <f t="shared" si="21"/>
        <v>0X0X0</v>
      </c>
      <c r="M195" s="58" t="str">
        <f t="shared" si="23"/>
        <v>0X0X0</v>
      </c>
      <c r="N195" s="4" t="str">
        <f t="shared" si="20"/>
        <v>0X0X0</v>
      </c>
      <c r="O195" s="5">
        <f t="shared" si="22"/>
        <v>0</v>
      </c>
      <c r="P195" s="9"/>
      <c r="Q195" s="9"/>
      <c r="R195" s="13"/>
      <c r="S195" s="13"/>
      <c r="T195" s="13"/>
      <c r="U195" s="5"/>
    </row>
    <row r="196" spans="1:21" ht="20.100000000000001" customHeight="1" x14ac:dyDescent="0.2">
      <c r="A196" s="21"/>
      <c r="B196" s="5"/>
      <c r="C196" s="5"/>
      <c r="D196" s="9"/>
      <c r="E196" s="9"/>
      <c r="F196" s="9"/>
      <c r="G196" s="9"/>
      <c r="H196" s="9">
        <f t="shared" si="24"/>
        <v>0</v>
      </c>
      <c r="I196" s="9">
        <f t="shared" si="25"/>
        <v>0</v>
      </c>
      <c r="J196" s="9" t="str">
        <f t="shared" si="26"/>
        <v>-</v>
      </c>
      <c r="K196" s="52" t="str">
        <f>IFERROR(VLOOKUP(J196,MASTER!C:D,2,0),"")</f>
        <v/>
      </c>
      <c r="L196" s="4" t="str">
        <f t="shared" si="21"/>
        <v>0X0X0</v>
      </c>
      <c r="M196" s="58" t="str">
        <f t="shared" si="23"/>
        <v>0X0X0</v>
      </c>
      <c r="N196" s="4" t="str">
        <f t="shared" si="20"/>
        <v>0X0X0</v>
      </c>
      <c r="O196" s="5">
        <f t="shared" si="22"/>
        <v>0</v>
      </c>
      <c r="P196" s="9"/>
      <c r="Q196" s="9"/>
      <c r="R196" s="13"/>
      <c r="S196" s="13"/>
      <c r="T196" s="13"/>
      <c r="U196" s="5"/>
    </row>
    <row r="197" spans="1:21" ht="20.100000000000001" customHeight="1" x14ac:dyDescent="0.2">
      <c r="A197" s="21"/>
      <c r="B197" s="5"/>
      <c r="C197" s="5"/>
      <c r="D197" s="9"/>
      <c r="E197" s="9"/>
      <c r="F197" s="9"/>
      <c r="G197" s="9"/>
      <c r="H197" s="9">
        <f t="shared" si="24"/>
        <v>0</v>
      </c>
      <c r="I197" s="9">
        <f t="shared" si="25"/>
        <v>0</v>
      </c>
      <c r="J197" s="9" t="str">
        <f t="shared" ref="J197:J202" si="27">B197&amp;"-"&amp;C197</f>
        <v>-</v>
      </c>
      <c r="K197" s="52" t="str">
        <f>IFERROR(VLOOKUP(J197,MASTER!C:D,2,0),"")</f>
        <v/>
      </c>
      <c r="L197" s="4" t="str">
        <f t="shared" si="21"/>
        <v>0X0X0</v>
      </c>
      <c r="M197" s="58" t="str">
        <f t="shared" si="23"/>
        <v>0X0X0</v>
      </c>
      <c r="N197" s="4" t="str">
        <f t="shared" ref="N197:N202" si="28">M197</f>
        <v>0X0X0</v>
      </c>
      <c r="O197" s="5">
        <f t="shared" si="22"/>
        <v>0</v>
      </c>
      <c r="P197" s="9"/>
      <c r="Q197" s="9"/>
      <c r="R197" s="13"/>
      <c r="S197" s="13"/>
      <c r="T197" s="13"/>
      <c r="U197" s="5"/>
    </row>
    <row r="198" spans="1:21" ht="20.100000000000001" customHeight="1" x14ac:dyDescent="0.2">
      <c r="A198" s="21"/>
      <c r="B198" s="5"/>
      <c r="C198" s="5"/>
      <c r="D198" s="9"/>
      <c r="E198" s="9"/>
      <c r="F198" s="9"/>
      <c r="G198" s="9"/>
      <c r="H198" s="9">
        <f t="shared" si="24"/>
        <v>0</v>
      </c>
      <c r="I198" s="9">
        <f t="shared" si="25"/>
        <v>0</v>
      </c>
      <c r="J198" s="9" t="str">
        <f t="shared" si="27"/>
        <v>-</v>
      </c>
      <c r="K198" s="52" t="str">
        <f>IFERROR(VLOOKUP(J198,MASTER!C:D,2,0),"")</f>
        <v/>
      </c>
      <c r="L198" s="4" t="str">
        <f t="shared" ref="L198:L202" si="29">IFERROR((H198&amp;"X"&amp;I198&amp;"X"&amp;"0"&amp;F198),"")</f>
        <v>0X0X0</v>
      </c>
      <c r="M198" s="58" t="str">
        <f t="shared" si="23"/>
        <v>0X0X0</v>
      </c>
      <c r="N198" s="4" t="str">
        <f t="shared" si="28"/>
        <v>0X0X0</v>
      </c>
      <c r="O198" s="5">
        <f t="shared" ref="O198:O202" si="30">+G198</f>
        <v>0</v>
      </c>
      <c r="P198" s="9"/>
      <c r="Q198" s="9"/>
      <c r="R198" s="13"/>
      <c r="S198" s="13"/>
      <c r="T198" s="13"/>
      <c r="U198" s="5"/>
    </row>
    <row r="199" spans="1:21" ht="20.100000000000001" customHeight="1" x14ac:dyDescent="0.2">
      <c r="A199" s="21"/>
      <c r="B199" s="5"/>
      <c r="C199" s="5"/>
      <c r="D199" s="9"/>
      <c r="E199" s="9"/>
      <c r="F199" s="9"/>
      <c r="G199" s="9"/>
      <c r="H199" s="9">
        <f t="shared" si="24"/>
        <v>0</v>
      </c>
      <c r="I199" s="9">
        <f t="shared" si="25"/>
        <v>0</v>
      </c>
      <c r="J199" s="9" t="str">
        <f t="shared" si="27"/>
        <v>-</v>
      </c>
      <c r="K199" s="52" t="str">
        <f>IFERROR(VLOOKUP(J199,MASTER!C:D,2,0),"")</f>
        <v/>
      </c>
      <c r="L199" s="4" t="str">
        <f t="shared" si="29"/>
        <v>0X0X0</v>
      </c>
      <c r="M199" s="58" t="str">
        <f t="shared" si="23"/>
        <v>0X0X0</v>
      </c>
      <c r="N199" s="4" t="str">
        <f t="shared" si="28"/>
        <v>0X0X0</v>
      </c>
      <c r="O199" s="5">
        <f t="shared" si="30"/>
        <v>0</v>
      </c>
      <c r="P199" s="9"/>
      <c r="Q199" s="9"/>
      <c r="R199" s="13"/>
      <c r="S199" s="13"/>
      <c r="T199" s="13"/>
      <c r="U199" s="5"/>
    </row>
    <row r="200" spans="1:21" ht="20.100000000000001" customHeight="1" x14ac:dyDescent="0.2">
      <c r="A200" s="21"/>
      <c r="B200" s="5"/>
      <c r="C200" s="5"/>
      <c r="D200" s="9"/>
      <c r="E200" s="9"/>
      <c r="F200" s="9"/>
      <c r="G200" s="9"/>
      <c r="H200" s="9">
        <f t="shared" si="24"/>
        <v>0</v>
      </c>
      <c r="I200" s="9">
        <f t="shared" si="25"/>
        <v>0</v>
      </c>
      <c r="J200" s="9" t="str">
        <f t="shared" si="27"/>
        <v>-</v>
      </c>
      <c r="K200" s="52" t="str">
        <f>IFERROR(VLOOKUP(J200,MASTER!C:D,2,0),"")</f>
        <v/>
      </c>
      <c r="L200" s="4" t="str">
        <f t="shared" si="29"/>
        <v>0X0X0</v>
      </c>
      <c r="M200" s="58" t="str">
        <f t="shared" si="23"/>
        <v>0X0X0</v>
      </c>
      <c r="N200" s="4" t="str">
        <f t="shared" si="28"/>
        <v>0X0X0</v>
      </c>
      <c r="O200" s="5">
        <f t="shared" si="30"/>
        <v>0</v>
      </c>
      <c r="P200" s="9"/>
      <c r="Q200" s="9"/>
      <c r="R200" s="13"/>
      <c r="S200" s="13"/>
      <c r="T200" s="13"/>
      <c r="U200" s="5"/>
    </row>
    <row r="201" spans="1:21" ht="20.100000000000001" customHeight="1" x14ac:dyDescent="0.2">
      <c r="A201" s="21"/>
      <c r="B201" s="5"/>
      <c r="C201" s="5"/>
      <c r="D201" s="9"/>
      <c r="E201" s="9"/>
      <c r="F201" s="9"/>
      <c r="G201" s="9"/>
      <c r="H201" s="9">
        <f t="shared" si="24"/>
        <v>0</v>
      </c>
      <c r="I201" s="9">
        <f t="shared" si="25"/>
        <v>0</v>
      </c>
      <c r="J201" s="9" t="str">
        <f t="shared" si="27"/>
        <v>-</v>
      </c>
      <c r="K201" s="52" t="str">
        <f>IFERROR(VLOOKUP(J201,MASTER!C:D,2,0),"")</f>
        <v/>
      </c>
      <c r="L201" s="4" t="str">
        <f t="shared" si="29"/>
        <v>0X0X0</v>
      </c>
      <c r="M201" s="58" t="str">
        <f t="shared" ref="M201:M202" si="31">IFERROR((K201&amp;L201),"")</f>
        <v>0X0X0</v>
      </c>
      <c r="N201" s="4" t="str">
        <f t="shared" si="28"/>
        <v>0X0X0</v>
      </c>
      <c r="O201" s="5">
        <f t="shared" si="30"/>
        <v>0</v>
      </c>
      <c r="P201" s="9"/>
      <c r="Q201" s="9"/>
      <c r="R201" s="13"/>
      <c r="S201" s="13"/>
      <c r="T201" s="13"/>
      <c r="U201" s="5"/>
    </row>
    <row r="202" spans="1:21" ht="20.100000000000001" customHeight="1" x14ac:dyDescent="0.2">
      <c r="A202" s="21"/>
      <c r="B202" s="5"/>
      <c r="C202" s="5"/>
      <c r="D202" s="9"/>
      <c r="E202" s="9"/>
      <c r="F202" s="9"/>
      <c r="G202" s="9"/>
      <c r="H202" s="9">
        <f t="shared" si="24"/>
        <v>0</v>
      </c>
      <c r="I202" s="9">
        <f t="shared" si="25"/>
        <v>0</v>
      </c>
      <c r="J202" s="9" t="str">
        <f t="shared" si="27"/>
        <v>-</v>
      </c>
      <c r="K202" s="52" t="str">
        <f>IFERROR(VLOOKUP(J202,MASTER!C:D,2,0),"")</f>
        <v/>
      </c>
      <c r="L202" s="4" t="str">
        <f t="shared" si="29"/>
        <v>0X0X0</v>
      </c>
      <c r="M202" s="58" t="str">
        <f t="shared" si="31"/>
        <v>0X0X0</v>
      </c>
      <c r="N202" s="4" t="str">
        <f t="shared" si="28"/>
        <v>0X0X0</v>
      </c>
      <c r="O202" s="5">
        <f t="shared" si="30"/>
        <v>0</v>
      </c>
      <c r="P202" s="9"/>
      <c r="Q202" s="9"/>
      <c r="R202" s="13"/>
      <c r="S202" s="13"/>
      <c r="T202" s="13"/>
      <c r="U202" s="5"/>
    </row>
    <row r="203" spans="1:21" ht="20.100000000000001" customHeight="1" x14ac:dyDescent="0.25">
      <c r="A203" s="174" t="s">
        <v>4</v>
      </c>
      <c r="B203" s="175"/>
      <c r="C203" s="175"/>
      <c r="D203" s="175"/>
      <c r="E203" s="175"/>
      <c r="F203" s="175"/>
      <c r="G203" s="175"/>
      <c r="H203" s="175"/>
      <c r="I203" s="175"/>
      <c r="J203" s="175"/>
      <c r="K203" s="176"/>
      <c r="L203" s="26"/>
      <c r="M203" s="59" t="str">
        <f>IF(J203="","",(K203&amp;H203&amp;"X"&amp;I203&amp;"X0"&amp;F203))</f>
        <v/>
      </c>
      <c r="N203" s="26"/>
      <c r="O203" s="8">
        <f>SUM(O5:O202)</f>
        <v>20</v>
      </c>
      <c r="P203" s="2"/>
      <c r="Q203" s="2"/>
      <c r="R203" s="14"/>
      <c r="S203" s="14"/>
      <c r="T203" s="14"/>
      <c r="U203" s="11"/>
    </row>
    <row r="204" spans="1:21" ht="20.100000000000001" customHeight="1" x14ac:dyDescent="0.2">
      <c r="R204" s="6"/>
      <c r="S204" s="6"/>
      <c r="T204" s="6"/>
      <c r="U204" s="6"/>
    </row>
    <row r="205" spans="1:21" ht="20.100000000000001" customHeight="1" x14ac:dyDescent="0.2">
      <c r="R205" s="6"/>
      <c r="S205" s="6"/>
      <c r="T205" s="6"/>
      <c r="U205" s="6"/>
    </row>
    <row r="206" spans="1:21" ht="20.100000000000001" customHeight="1" x14ac:dyDescent="0.2">
      <c r="R206" s="6"/>
      <c r="S206" s="6"/>
      <c r="T206" s="6"/>
      <c r="U206" s="6"/>
    </row>
    <row r="207" spans="1:21" ht="20.100000000000001" customHeight="1" x14ac:dyDescent="0.2">
      <c r="R207" s="6"/>
      <c r="S207" s="6"/>
      <c r="T207" s="6"/>
      <c r="U207" s="6"/>
    </row>
    <row r="208" spans="1:21" ht="20.100000000000001" customHeight="1" x14ac:dyDescent="0.2">
      <c r="R208" s="6"/>
      <c r="S208" s="6"/>
      <c r="T208" s="6"/>
      <c r="U208" s="6"/>
    </row>
    <row r="209" spans="18:21" ht="20.100000000000001" customHeight="1" x14ac:dyDescent="0.2">
      <c r="R209" s="6"/>
      <c r="S209" s="6"/>
      <c r="T209" s="6"/>
      <c r="U209" s="6"/>
    </row>
    <row r="210" spans="18:21" ht="20.100000000000001" customHeight="1" x14ac:dyDescent="0.2">
      <c r="R210" s="6"/>
      <c r="S210" s="6"/>
      <c r="T210" s="6"/>
      <c r="U210" s="6"/>
    </row>
    <row r="211" spans="18:21" ht="20.100000000000001" customHeight="1" x14ac:dyDescent="0.2">
      <c r="R211" s="6"/>
      <c r="S211" s="6"/>
      <c r="T211" s="6"/>
      <c r="U211" s="6"/>
    </row>
    <row r="212" spans="18:21" ht="20.100000000000001" customHeight="1" x14ac:dyDescent="0.2">
      <c r="R212" s="6"/>
      <c r="S212" s="6"/>
      <c r="T212" s="6"/>
      <c r="U212" s="6"/>
    </row>
    <row r="213" spans="18:21" ht="20.100000000000001" customHeight="1" x14ac:dyDescent="0.2">
      <c r="R213" s="6"/>
      <c r="S213" s="6"/>
      <c r="T213" s="6"/>
      <c r="U213" s="6"/>
    </row>
    <row r="214" spans="18:21" ht="20.100000000000001" customHeight="1" x14ac:dyDescent="0.2">
      <c r="R214" s="6"/>
      <c r="S214" s="6"/>
      <c r="T214" s="6"/>
      <c r="U214" s="6"/>
    </row>
    <row r="215" spans="18:21" ht="20.100000000000001" customHeight="1" x14ac:dyDescent="0.2">
      <c r="R215" s="6"/>
      <c r="S215" s="6"/>
      <c r="T215" s="6"/>
      <c r="U215" s="6"/>
    </row>
    <row r="216" spans="18:21" ht="20.100000000000001" customHeight="1" x14ac:dyDescent="0.2">
      <c r="R216" s="6"/>
      <c r="S216" s="6"/>
      <c r="T216" s="6"/>
      <c r="U216" s="6"/>
    </row>
    <row r="217" spans="18:21" ht="20.100000000000001" customHeight="1" x14ac:dyDescent="0.2">
      <c r="R217" s="6"/>
      <c r="S217" s="6"/>
      <c r="T217" s="6"/>
      <c r="U217" s="6"/>
    </row>
    <row r="218" spans="18:21" ht="20.100000000000001" customHeight="1" x14ac:dyDescent="0.2">
      <c r="R218" s="6"/>
      <c r="S218" s="6"/>
      <c r="T218" s="6"/>
      <c r="U218" s="6"/>
    </row>
    <row r="219" spans="18:21" ht="20.100000000000001" customHeight="1" x14ac:dyDescent="0.2">
      <c r="R219" s="6"/>
      <c r="S219" s="6"/>
      <c r="T219" s="6"/>
      <c r="U219" s="6"/>
    </row>
    <row r="220" spans="18:21" ht="20.100000000000001" customHeight="1" x14ac:dyDescent="0.2">
      <c r="R220" s="6"/>
      <c r="S220" s="6"/>
      <c r="T220" s="6"/>
      <c r="U220" s="6"/>
    </row>
    <row r="221" spans="18:21" ht="20.100000000000001" customHeight="1" x14ac:dyDescent="0.2">
      <c r="R221" s="6"/>
      <c r="S221" s="6"/>
      <c r="T221" s="6"/>
      <c r="U221" s="6"/>
    </row>
    <row r="222" spans="18:21" ht="20.100000000000001" customHeight="1" x14ac:dyDescent="0.2">
      <c r="R222" s="6"/>
      <c r="S222" s="6"/>
      <c r="T222" s="6"/>
      <c r="U222" s="6"/>
    </row>
    <row r="223" spans="18:21" ht="20.100000000000001" customHeight="1" x14ac:dyDescent="0.2">
      <c r="R223" s="6"/>
      <c r="S223" s="6"/>
      <c r="T223" s="6"/>
      <c r="U223" s="6"/>
    </row>
    <row r="224" spans="18:21" ht="20.100000000000001" customHeight="1" x14ac:dyDescent="0.2">
      <c r="R224" s="6"/>
      <c r="S224" s="6"/>
      <c r="T224" s="6"/>
      <c r="U224" s="6"/>
    </row>
    <row r="225" spans="18:21" ht="20.100000000000001" customHeight="1" x14ac:dyDescent="0.2">
      <c r="R225" s="6"/>
      <c r="S225" s="6"/>
      <c r="T225" s="6"/>
      <c r="U225" s="6"/>
    </row>
    <row r="226" spans="18:21" ht="20.100000000000001" customHeight="1" x14ac:dyDescent="0.2">
      <c r="R226" s="6"/>
      <c r="S226" s="6"/>
      <c r="T226" s="6"/>
      <c r="U226" s="6"/>
    </row>
    <row r="227" spans="18:21" ht="20.100000000000001" customHeight="1" x14ac:dyDescent="0.2">
      <c r="R227" s="6"/>
      <c r="S227" s="6"/>
      <c r="T227" s="6"/>
      <c r="U227" s="6"/>
    </row>
    <row r="228" spans="18:21" ht="20.100000000000001" customHeight="1" x14ac:dyDescent="0.2">
      <c r="R228" s="6"/>
      <c r="S228" s="6"/>
      <c r="T228" s="6"/>
      <c r="U228" s="6"/>
    </row>
    <row r="229" spans="18:21" ht="20.100000000000001" customHeight="1" x14ac:dyDescent="0.2">
      <c r="R229" s="6"/>
      <c r="S229" s="6"/>
      <c r="T229" s="6"/>
      <c r="U229" s="6"/>
    </row>
    <row r="230" spans="18:21" ht="20.100000000000001" customHeight="1" x14ac:dyDescent="0.2">
      <c r="R230" s="6"/>
      <c r="S230" s="6"/>
      <c r="T230" s="6"/>
      <c r="U230" s="6"/>
    </row>
    <row r="231" spans="18:21" ht="20.100000000000001" customHeight="1" x14ac:dyDescent="0.2">
      <c r="R231" s="6"/>
      <c r="S231" s="6"/>
      <c r="T231" s="6"/>
      <c r="U231" s="6"/>
    </row>
    <row r="232" spans="18:21" ht="20.100000000000001" customHeight="1" x14ac:dyDescent="0.2">
      <c r="R232" s="6"/>
      <c r="S232" s="6"/>
      <c r="T232" s="6"/>
      <c r="U232" s="6"/>
    </row>
    <row r="233" spans="18:21" ht="20.100000000000001" customHeight="1" x14ac:dyDescent="0.2">
      <c r="R233" s="6"/>
      <c r="S233" s="6"/>
      <c r="T233" s="6"/>
      <c r="U233" s="6"/>
    </row>
    <row r="234" spans="18:21" ht="20.100000000000001" customHeight="1" x14ac:dyDescent="0.2">
      <c r="R234" s="6"/>
      <c r="S234" s="6"/>
      <c r="T234" s="6"/>
      <c r="U234" s="6"/>
    </row>
    <row r="235" spans="18:21" ht="20.100000000000001" customHeight="1" x14ac:dyDescent="0.2">
      <c r="R235" s="6"/>
      <c r="S235" s="6"/>
      <c r="T235" s="6"/>
      <c r="U235" s="6"/>
    </row>
    <row r="236" spans="18:21" ht="20.100000000000001" customHeight="1" x14ac:dyDescent="0.2">
      <c r="R236" s="6"/>
      <c r="S236" s="6"/>
      <c r="T236" s="6"/>
      <c r="U236" s="6"/>
    </row>
    <row r="237" spans="18:21" ht="20.100000000000001" customHeight="1" x14ac:dyDescent="0.2">
      <c r="R237" s="6"/>
      <c r="S237" s="6"/>
      <c r="T237" s="6"/>
      <c r="U237" s="6"/>
    </row>
    <row r="238" spans="18:21" ht="20.100000000000001" customHeight="1" x14ac:dyDescent="0.2">
      <c r="R238" s="6"/>
      <c r="S238" s="6"/>
      <c r="T238" s="6"/>
      <c r="U238" s="6"/>
    </row>
    <row r="239" spans="18:21" ht="20.100000000000001" customHeight="1" x14ac:dyDescent="0.2">
      <c r="R239" s="6"/>
      <c r="S239" s="6"/>
      <c r="T239" s="6"/>
      <c r="U239" s="6"/>
    </row>
    <row r="240" spans="18:21" ht="20.100000000000001" customHeight="1" x14ac:dyDescent="0.2">
      <c r="R240" s="6"/>
      <c r="S240" s="6"/>
      <c r="T240" s="6"/>
      <c r="U240" s="6"/>
    </row>
    <row r="241" spans="18:21" ht="20.100000000000001" customHeight="1" x14ac:dyDescent="0.2">
      <c r="R241" s="6"/>
      <c r="S241" s="6"/>
      <c r="T241" s="6"/>
      <c r="U241" s="6"/>
    </row>
    <row r="242" spans="18:21" ht="20.100000000000001" customHeight="1" x14ac:dyDescent="0.2">
      <c r="R242" s="6"/>
      <c r="S242" s="6"/>
      <c r="T242" s="6"/>
      <c r="U242" s="6"/>
    </row>
    <row r="243" spans="18:21" ht="20.100000000000001" customHeight="1" x14ac:dyDescent="0.2">
      <c r="R243" s="6"/>
      <c r="S243" s="6"/>
      <c r="T243" s="6"/>
      <c r="U243" s="6"/>
    </row>
    <row r="244" spans="18:21" ht="20.100000000000001" customHeight="1" x14ac:dyDescent="0.2">
      <c r="R244" s="6"/>
      <c r="S244" s="6"/>
      <c r="T244" s="6"/>
      <c r="U244" s="6"/>
    </row>
    <row r="245" spans="18:21" ht="20.100000000000001" customHeight="1" x14ac:dyDescent="0.2">
      <c r="R245" s="6"/>
      <c r="S245" s="6"/>
      <c r="T245" s="6"/>
      <c r="U245" s="6"/>
    </row>
    <row r="246" spans="18:21" ht="20.100000000000001" customHeight="1" x14ac:dyDescent="0.2">
      <c r="R246" s="6"/>
      <c r="S246" s="6"/>
      <c r="T246" s="6"/>
      <c r="U246" s="6"/>
    </row>
    <row r="247" spans="18:21" ht="20.100000000000001" customHeight="1" x14ac:dyDescent="0.2">
      <c r="R247" s="6"/>
      <c r="S247" s="6"/>
      <c r="T247" s="6"/>
      <c r="U247" s="6"/>
    </row>
    <row r="248" spans="18:21" ht="20.100000000000001" customHeight="1" x14ac:dyDescent="0.2">
      <c r="R248" s="6"/>
      <c r="S248" s="6"/>
      <c r="T248" s="6"/>
      <c r="U248" s="6"/>
    </row>
    <row r="249" spans="18:21" ht="20.100000000000001" customHeight="1" x14ac:dyDescent="0.2">
      <c r="R249" s="6"/>
      <c r="S249" s="6"/>
      <c r="T249" s="6"/>
      <c r="U249" s="6"/>
    </row>
    <row r="250" spans="18:21" ht="20.100000000000001" customHeight="1" x14ac:dyDescent="0.2">
      <c r="R250" s="6"/>
      <c r="S250" s="6"/>
      <c r="T250" s="6"/>
      <c r="U250" s="6"/>
    </row>
    <row r="251" spans="18:21" ht="20.100000000000001" customHeight="1" x14ac:dyDescent="0.2">
      <c r="R251" s="6"/>
      <c r="S251" s="6"/>
      <c r="T251" s="6"/>
      <c r="U251" s="6"/>
    </row>
    <row r="252" spans="18:21" ht="20.100000000000001" customHeight="1" x14ac:dyDescent="0.2">
      <c r="R252" s="6"/>
      <c r="S252" s="6"/>
      <c r="T252" s="6"/>
      <c r="U252" s="6"/>
    </row>
    <row r="253" spans="18:21" ht="20.100000000000001" customHeight="1" x14ac:dyDescent="0.2">
      <c r="R253" s="6"/>
      <c r="S253" s="6"/>
      <c r="T253" s="6"/>
      <c r="U253" s="6"/>
    </row>
    <row r="254" spans="18:21" ht="20.100000000000001" customHeight="1" x14ac:dyDescent="0.2">
      <c r="R254" s="6"/>
      <c r="S254" s="6"/>
      <c r="T254" s="6"/>
      <c r="U254" s="6"/>
    </row>
    <row r="255" spans="18:21" ht="20.100000000000001" customHeight="1" x14ac:dyDescent="0.2">
      <c r="R255" s="6"/>
      <c r="S255" s="6"/>
      <c r="T255" s="6"/>
      <c r="U255" s="6"/>
    </row>
    <row r="256" spans="18:21" ht="20.100000000000001" customHeight="1" x14ac:dyDescent="0.2">
      <c r="R256" s="6"/>
      <c r="S256" s="6"/>
      <c r="T256" s="6"/>
      <c r="U256" s="6"/>
    </row>
    <row r="257" spans="18:21" ht="20.100000000000001" customHeight="1" x14ac:dyDescent="0.2">
      <c r="R257" s="6"/>
      <c r="S257" s="6"/>
      <c r="T257" s="6"/>
      <c r="U257" s="6"/>
    </row>
    <row r="258" spans="18:21" ht="20.100000000000001" customHeight="1" x14ac:dyDescent="0.2">
      <c r="R258" s="6"/>
      <c r="S258" s="6"/>
      <c r="T258" s="6"/>
      <c r="U258" s="6"/>
    </row>
    <row r="259" spans="18:21" ht="20.100000000000001" customHeight="1" x14ac:dyDescent="0.2">
      <c r="R259" s="6"/>
      <c r="S259" s="6"/>
      <c r="T259" s="6"/>
      <c r="U259" s="6"/>
    </row>
    <row r="260" spans="18:21" ht="20.100000000000001" customHeight="1" x14ac:dyDescent="0.2">
      <c r="R260" s="6"/>
      <c r="S260" s="6"/>
      <c r="T260" s="6"/>
      <c r="U260" s="6"/>
    </row>
    <row r="261" spans="18:21" ht="20.100000000000001" customHeight="1" x14ac:dyDescent="0.2">
      <c r="R261" s="6"/>
      <c r="S261" s="6"/>
      <c r="T261" s="6"/>
      <c r="U261" s="6"/>
    </row>
    <row r="262" spans="18:21" ht="20.100000000000001" customHeight="1" x14ac:dyDescent="0.2">
      <c r="R262" s="6"/>
      <c r="S262" s="6"/>
      <c r="T262" s="6"/>
      <c r="U262" s="6"/>
    </row>
    <row r="263" spans="18:21" ht="20.100000000000001" customHeight="1" x14ac:dyDescent="0.2">
      <c r="R263" s="6"/>
      <c r="S263" s="6"/>
      <c r="T263" s="6"/>
      <c r="U263" s="6"/>
    </row>
    <row r="264" spans="18:21" ht="20.100000000000001" customHeight="1" x14ac:dyDescent="0.2">
      <c r="R264" s="6"/>
      <c r="S264" s="6"/>
      <c r="T264" s="6"/>
      <c r="U264" s="6"/>
    </row>
    <row r="265" spans="18:21" ht="20.100000000000001" customHeight="1" x14ac:dyDescent="0.2">
      <c r="R265" s="6"/>
      <c r="S265" s="6"/>
      <c r="T265" s="6"/>
      <c r="U265" s="6"/>
    </row>
    <row r="266" spans="18:21" ht="20.100000000000001" customHeight="1" x14ac:dyDescent="0.2">
      <c r="R266" s="6"/>
      <c r="S266" s="6"/>
      <c r="T266" s="6"/>
      <c r="U266" s="6"/>
    </row>
    <row r="267" spans="18:21" ht="20.100000000000001" customHeight="1" x14ac:dyDescent="0.2">
      <c r="R267" s="6"/>
      <c r="S267" s="6"/>
      <c r="T267" s="6"/>
      <c r="U267" s="6"/>
    </row>
    <row r="268" spans="18:21" ht="20.100000000000001" customHeight="1" x14ac:dyDescent="0.2">
      <c r="R268" s="6"/>
      <c r="S268" s="6"/>
      <c r="T268" s="6"/>
      <c r="U268" s="6"/>
    </row>
    <row r="269" spans="18:21" ht="20.100000000000001" customHeight="1" x14ac:dyDescent="0.2">
      <c r="R269" s="6"/>
      <c r="S269" s="6"/>
      <c r="T269" s="6"/>
      <c r="U269" s="6"/>
    </row>
    <row r="270" spans="18:21" ht="20.100000000000001" customHeight="1" x14ac:dyDescent="0.2">
      <c r="R270" s="6"/>
      <c r="S270" s="6"/>
      <c r="T270" s="6"/>
      <c r="U270" s="6"/>
    </row>
    <row r="271" spans="18:21" ht="20.100000000000001" customHeight="1" x14ac:dyDescent="0.2">
      <c r="R271" s="6"/>
      <c r="S271" s="6"/>
      <c r="T271" s="6"/>
      <c r="U271" s="6"/>
    </row>
    <row r="272" spans="18:21" ht="20.100000000000001" customHeight="1" x14ac:dyDescent="0.2">
      <c r="R272" s="6"/>
      <c r="S272" s="6"/>
      <c r="T272" s="6"/>
      <c r="U272" s="6"/>
    </row>
    <row r="273" spans="18:21" ht="20.100000000000001" customHeight="1" x14ac:dyDescent="0.2">
      <c r="R273" s="6"/>
      <c r="S273" s="6"/>
      <c r="T273" s="6"/>
      <c r="U273" s="6"/>
    </row>
    <row r="274" spans="18:21" ht="20.100000000000001" customHeight="1" x14ac:dyDescent="0.2">
      <c r="R274" s="6"/>
      <c r="S274" s="6"/>
      <c r="T274" s="6"/>
      <c r="U274" s="6"/>
    </row>
    <row r="275" spans="18:21" ht="20.100000000000001" customHeight="1" x14ac:dyDescent="0.2">
      <c r="R275" s="6"/>
      <c r="S275" s="6"/>
      <c r="T275" s="6"/>
      <c r="U275" s="6"/>
    </row>
    <row r="276" spans="18:21" ht="20.100000000000001" customHeight="1" x14ac:dyDescent="0.2">
      <c r="R276" s="6"/>
      <c r="S276" s="6"/>
      <c r="T276" s="6"/>
      <c r="U276" s="6"/>
    </row>
    <row r="277" spans="18:21" ht="20.100000000000001" customHeight="1" x14ac:dyDescent="0.2">
      <c r="R277" s="6"/>
      <c r="S277" s="6"/>
      <c r="T277" s="6"/>
      <c r="U277" s="6"/>
    </row>
    <row r="278" spans="18:21" ht="20.100000000000001" customHeight="1" x14ac:dyDescent="0.2">
      <c r="R278" s="6"/>
      <c r="S278" s="6"/>
      <c r="T278" s="6"/>
      <c r="U278" s="6"/>
    </row>
    <row r="279" spans="18:21" ht="20.100000000000001" customHeight="1" x14ac:dyDescent="0.2">
      <c r="R279" s="6"/>
      <c r="S279" s="6"/>
      <c r="T279" s="6"/>
      <c r="U279" s="6"/>
    </row>
    <row r="280" spans="18:21" ht="20.100000000000001" customHeight="1" x14ac:dyDescent="0.2">
      <c r="R280" s="6"/>
      <c r="S280" s="6"/>
      <c r="T280" s="6"/>
      <c r="U280" s="6"/>
    </row>
    <row r="281" spans="18:21" ht="20.100000000000001" customHeight="1" x14ac:dyDescent="0.2">
      <c r="R281" s="6"/>
      <c r="S281" s="6"/>
      <c r="T281" s="6"/>
      <c r="U281" s="6"/>
    </row>
    <row r="282" spans="18:21" ht="20.100000000000001" customHeight="1" x14ac:dyDescent="0.2">
      <c r="R282" s="6"/>
      <c r="S282" s="6"/>
      <c r="T282" s="6"/>
      <c r="U282" s="6"/>
    </row>
    <row r="283" spans="18:21" ht="20.100000000000001" customHeight="1" x14ac:dyDescent="0.2">
      <c r="R283" s="6"/>
      <c r="S283" s="6"/>
      <c r="T283" s="6"/>
      <c r="U283" s="6"/>
    </row>
    <row r="284" spans="18:21" ht="20.100000000000001" customHeight="1" x14ac:dyDescent="0.2">
      <c r="R284" s="6"/>
      <c r="S284" s="6"/>
      <c r="T284" s="6"/>
      <c r="U284" s="6"/>
    </row>
    <row r="285" spans="18:21" ht="20.100000000000001" customHeight="1" x14ac:dyDescent="0.2">
      <c r="R285" s="6"/>
      <c r="S285" s="6"/>
      <c r="T285" s="6"/>
      <c r="U285" s="6"/>
    </row>
    <row r="286" spans="18:21" ht="20.100000000000001" customHeight="1" x14ac:dyDescent="0.2">
      <c r="R286" s="6"/>
      <c r="S286" s="6"/>
      <c r="T286" s="6"/>
      <c r="U286" s="6"/>
    </row>
    <row r="287" spans="18:21" ht="20.100000000000001" customHeight="1" x14ac:dyDescent="0.2">
      <c r="R287" s="6"/>
      <c r="S287" s="6"/>
      <c r="T287" s="6"/>
      <c r="U287" s="6"/>
    </row>
    <row r="288" spans="18:21" ht="20.100000000000001" customHeight="1" x14ac:dyDescent="0.2">
      <c r="R288" s="6"/>
      <c r="S288" s="6"/>
      <c r="T288" s="6"/>
      <c r="U288" s="6"/>
    </row>
    <row r="289" spans="18:21" ht="20.100000000000001" customHeight="1" x14ac:dyDescent="0.2">
      <c r="R289" s="6"/>
      <c r="S289" s="6"/>
      <c r="T289" s="6"/>
      <c r="U289" s="6"/>
    </row>
    <row r="290" spans="18:21" ht="20.100000000000001" customHeight="1" x14ac:dyDescent="0.2">
      <c r="R290" s="6"/>
      <c r="S290" s="6"/>
      <c r="T290" s="6"/>
      <c r="U290" s="6"/>
    </row>
    <row r="291" spans="18:21" ht="20.100000000000001" customHeight="1" x14ac:dyDescent="0.2">
      <c r="R291" s="6"/>
      <c r="S291" s="6"/>
      <c r="T291" s="6"/>
      <c r="U291" s="6"/>
    </row>
    <row r="292" spans="18:21" ht="20.100000000000001" customHeight="1" x14ac:dyDescent="0.2">
      <c r="R292" s="6"/>
      <c r="S292" s="6"/>
      <c r="T292" s="6"/>
      <c r="U292" s="6"/>
    </row>
    <row r="293" spans="18:21" ht="20.100000000000001" customHeight="1" x14ac:dyDescent="0.2">
      <c r="R293" s="6"/>
      <c r="S293" s="6"/>
      <c r="T293" s="6"/>
      <c r="U293" s="6"/>
    </row>
    <row r="294" spans="18:21" ht="20.100000000000001" customHeight="1" x14ac:dyDescent="0.2">
      <c r="R294" s="6"/>
      <c r="S294" s="6"/>
      <c r="T294" s="6"/>
      <c r="U294" s="6"/>
    </row>
    <row r="295" spans="18:21" ht="20.100000000000001" customHeight="1" x14ac:dyDescent="0.2">
      <c r="R295" s="6"/>
      <c r="S295" s="6"/>
      <c r="T295" s="6"/>
      <c r="U295" s="6"/>
    </row>
    <row r="296" spans="18:21" ht="20.100000000000001" customHeight="1" x14ac:dyDescent="0.2">
      <c r="R296" s="6"/>
      <c r="S296" s="6"/>
      <c r="T296" s="6"/>
      <c r="U296" s="6"/>
    </row>
    <row r="297" spans="18:21" ht="20.100000000000001" customHeight="1" x14ac:dyDescent="0.2">
      <c r="R297" s="6"/>
      <c r="S297" s="6"/>
      <c r="T297" s="6"/>
      <c r="U297" s="6"/>
    </row>
    <row r="298" spans="18:21" ht="20.100000000000001" customHeight="1" x14ac:dyDescent="0.2">
      <c r="R298" s="6"/>
      <c r="S298" s="6"/>
      <c r="T298" s="6"/>
      <c r="U298" s="6"/>
    </row>
    <row r="299" spans="18:21" ht="20.100000000000001" customHeight="1" x14ac:dyDescent="0.2">
      <c r="R299" s="6"/>
      <c r="S299" s="6"/>
      <c r="T299" s="6"/>
      <c r="U299" s="6"/>
    </row>
    <row r="300" spans="18:21" ht="20.100000000000001" customHeight="1" x14ac:dyDescent="0.2">
      <c r="R300" s="6"/>
      <c r="S300" s="6"/>
      <c r="T300" s="6"/>
      <c r="U300" s="6"/>
    </row>
    <row r="301" spans="18:21" ht="20.100000000000001" customHeight="1" x14ac:dyDescent="0.2">
      <c r="R301" s="6"/>
      <c r="S301" s="6"/>
      <c r="T301" s="6"/>
      <c r="U301" s="6"/>
    </row>
    <row r="302" spans="18:21" ht="20.100000000000001" customHeight="1" x14ac:dyDescent="0.2">
      <c r="R302" s="6"/>
      <c r="S302" s="6"/>
      <c r="T302" s="6"/>
      <c r="U302" s="6"/>
    </row>
    <row r="303" spans="18:21" ht="20.100000000000001" customHeight="1" x14ac:dyDescent="0.2">
      <c r="R303" s="6"/>
      <c r="S303" s="6"/>
      <c r="T303" s="6"/>
      <c r="U303" s="6"/>
    </row>
    <row r="304" spans="18:21" ht="20.100000000000001" customHeight="1" x14ac:dyDescent="0.2">
      <c r="R304" s="6"/>
      <c r="S304" s="6"/>
      <c r="T304" s="6"/>
      <c r="U304" s="6"/>
    </row>
    <row r="305" spans="18:21" ht="20.100000000000001" customHeight="1" x14ac:dyDescent="0.2">
      <c r="R305" s="6"/>
      <c r="S305" s="6"/>
      <c r="T305" s="6"/>
      <c r="U305" s="6"/>
    </row>
    <row r="306" spans="18:21" ht="20.100000000000001" customHeight="1" x14ac:dyDescent="0.2">
      <c r="R306" s="6"/>
      <c r="S306" s="6"/>
      <c r="T306" s="6"/>
      <c r="U306" s="6"/>
    </row>
    <row r="307" spans="18:21" ht="20.100000000000001" customHeight="1" x14ac:dyDescent="0.2">
      <c r="R307" s="6"/>
      <c r="S307" s="6"/>
      <c r="T307" s="6"/>
      <c r="U307" s="6"/>
    </row>
    <row r="308" spans="18:21" ht="20.100000000000001" customHeight="1" x14ac:dyDescent="0.2">
      <c r="R308" s="6"/>
      <c r="S308" s="6"/>
      <c r="T308" s="6"/>
      <c r="U308" s="6"/>
    </row>
    <row r="309" spans="18:21" ht="20.100000000000001" customHeight="1" x14ac:dyDescent="0.2">
      <c r="R309" s="6"/>
      <c r="S309" s="6"/>
      <c r="T309" s="6"/>
      <c r="U309" s="6"/>
    </row>
    <row r="310" spans="18:21" ht="20.100000000000001" customHeight="1" x14ac:dyDescent="0.2">
      <c r="R310" s="6"/>
      <c r="S310" s="6"/>
      <c r="T310" s="6"/>
      <c r="U310" s="6"/>
    </row>
    <row r="311" spans="18:21" ht="20.100000000000001" customHeight="1" x14ac:dyDescent="0.2">
      <c r="R311" s="6"/>
      <c r="S311" s="6"/>
      <c r="T311" s="6"/>
      <c r="U311" s="6"/>
    </row>
    <row r="312" spans="18:21" ht="20.100000000000001" customHeight="1" x14ac:dyDescent="0.2">
      <c r="R312" s="6"/>
      <c r="S312" s="6"/>
      <c r="T312" s="6"/>
      <c r="U312" s="6"/>
    </row>
    <row r="313" spans="18:21" ht="20.100000000000001" customHeight="1" x14ac:dyDescent="0.2">
      <c r="R313" s="6"/>
      <c r="S313" s="6"/>
      <c r="T313" s="6"/>
      <c r="U313" s="6"/>
    </row>
    <row r="314" spans="18:21" ht="20.100000000000001" customHeight="1" x14ac:dyDescent="0.2">
      <c r="R314" s="6"/>
      <c r="S314" s="6"/>
      <c r="T314" s="6"/>
      <c r="U314" s="6"/>
    </row>
    <row r="315" spans="18:21" ht="20.100000000000001" customHeight="1" x14ac:dyDescent="0.2">
      <c r="R315" s="6"/>
      <c r="S315" s="6"/>
      <c r="T315" s="6"/>
      <c r="U315" s="6"/>
    </row>
    <row r="316" spans="18:21" ht="20.100000000000001" customHeight="1" x14ac:dyDescent="0.2">
      <c r="R316" s="6"/>
      <c r="S316" s="6"/>
      <c r="T316" s="6"/>
      <c r="U316" s="6"/>
    </row>
    <row r="317" spans="18:21" ht="20.100000000000001" customHeight="1" x14ac:dyDescent="0.2">
      <c r="R317" s="6"/>
      <c r="S317" s="6"/>
      <c r="T317" s="6"/>
      <c r="U317" s="6"/>
    </row>
    <row r="318" spans="18:21" ht="20.100000000000001" customHeight="1" x14ac:dyDescent="0.2">
      <c r="R318" s="6"/>
      <c r="S318" s="6"/>
      <c r="T318" s="6"/>
      <c r="U318" s="6"/>
    </row>
    <row r="319" spans="18:21" ht="20.100000000000001" customHeight="1" x14ac:dyDescent="0.2">
      <c r="R319" s="6"/>
      <c r="S319" s="6"/>
      <c r="T319" s="6"/>
      <c r="U319" s="6"/>
    </row>
    <row r="320" spans="18:21" ht="20.100000000000001" customHeight="1" x14ac:dyDescent="0.2">
      <c r="R320" s="6"/>
      <c r="S320" s="6"/>
      <c r="T320" s="6"/>
      <c r="U320" s="6"/>
    </row>
    <row r="321" spans="18:21" ht="20.100000000000001" customHeight="1" x14ac:dyDescent="0.2">
      <c r="R321" s="6"/>
      <c r="S321" s="6"/>
      <c r="T321" s="6"/>
      <c r="U321" s="6"/>
    </row>
    <row r="322" spans="18:21" ht="20.100000000000001" customHeight="1" x14ac:dyDescent="0.2">
      <c r="R322" s="6"/>
      <c r="S322" s="6"/>
      <c r="T322" s="6"/>
      <c r="U322" s="6"/>
    </row>
    <row r="323" spans="18:21" ht="20.100000000000001" customHeight="1" x14ac:dyDescent="0.2">
      <c r="R323" s="6"/>
      <c r="S323" s="6"/>
      <c r="T323" s="6"/>
      <c r="U323" s="6"/>
    </row>
    <row r="324" spans="18:21" ht="20.100000000000001" customHeight="1" x14ac:dyDescent="0.2">
      <c r="R324" s="6"/>
      <c r="S324" s="6"/>
      <c r="T324" s="6"/>
      <c r="U324" s="6"/>
    </row>
    <row r="325" spans="18:21" ht="20.100000000000001" customHeight="1" x14ac:dyDescent="0.2">
      <c r="R325" s="6"/>
      <c r="S325" s="6"/>
      <c r="T325" s="6"/>
      <c r="U325" s="6"/>
    </row>
    <row r="326" spans="18:21" ht="20.100000000000001" customHeight="1" x14ac:dyDescent="0.2">
      <c r="R326" s="6"/>
      <c r="S326" s="6"/>
      <c r="T326" s="6"/>
      <c r="U326" s="6"/>
    </row>
    <row r="327" spans="18:21" ht="20.100000000000001" customHeight="1" x14ac:dyDescent="0.2">
      <c r="R327" s="6"/>
      <c r="S327" s="6"/>
      <c r="T327" s="6"/>
      <c r="U327" s="6"/>
    </row>
    <row r="328" spans="18:21" ht="20.100000000000001" customHeight="1" x14ac:dyDescent="0.2">
      <c r="R328" s="6"/>
      <c r="S328" s="6"/>
      <c r="T328" s="6"/>
      <c r="U328" s="6"/>
    </row>
    <row r="329" spans="18:21" ht="20.100000000000001" customHeight="1" x14ac:dyDescent="0.2">
      <c r="R329" s="6"/>
      <c r="S329" s="6"/>
      <c r="T329" s="6"/>
      <c r="U329" s="6"/>
    </row>
    <row r="330" spans="18:21" ht="20.100000000000001" customHeight="1" x14ac:dyDescent="0.2">
      <c r="R330" s="6"/>
      <c r="S330" s="6"/>
      <c r="T330" s="6"/>
      <c r="U330" s="6"/>
    </row>
    <row r="331" spans="18:21" ht="20.100000000000001" customHeight="1" x14ac:dyDescent="0.2">
      <c r="R331" s="6"/>
      <c r="S331" s="6"/>
      <c r="T331" s="6"/>
      <c r="U331" s="6"/>
    </row>
    <row r="332" spans="18:21" ht="20.100000000000001" customHeight="1" x14ac:dyDescent="0.2">
      <c r="R332" s="6"/>
      <c r="S332" s="6"/>
      <c r="T332" s="6"/>
      <c r="U332" s="6"/>
    </row>
    <row r="333" spans="18:21" ht="20.100000000000001" customHeight="1" x14ac:dyDescent="0.2">
      <c r="R333" s="6"/>
      <c r="S333" s="6"/>
      <c r="T333" s="6"/>
      <c r="U333" s="6"/>
    </row>
    <row r="334" spans="18:21" ht="20.100000000000001" customHeight="1" x14ac:dyDescent="0.2">
      <c r="R334" s="6"/>
      <c r="S334" s="6"/>
      <c r="T334" s="6"/>
      <c r="U334" s="6"/>
    </row>
    <row r="335" spans="18:21" ht="20.100000000000001" customHeight="1" x14ac:dyDescent="0.2">
      <c r="R335" s="6"/>
      <c r="S335" s="6"/>
      <c r="T335" s="6"/>
      <c r="U335" s="6"/>
    </row>
    <row r="336" spans="18:21" ht="20.100000000000001" customHeight="1" x14ac:dyDescent="0.2">
      <c r="R336" s="6"/>
      <c r="S336" s="6"/>
      <c r="T336" s="6"/>
      <c r="U336" s="6"/>
    </row>
    <row r="337" spans="18:21" ht="20.100000000000001" customHeight="1" x14ac:dyDescent="0.2">
      <c r="R337" s="6"/>
      <c r="S337" s="6"/>
      <c r="T337" s="6"/>
      <c r="U337" s="6"/>
    </row>
    <row r="338" spans="18:21" ht="20.100000000000001" customHeight="1" x14ac:dyDescent="0.2">
      <c r="R338" s="6"/>
      <c r="S338" s="6"/>
      <c r="T338" s="6"/>
      <c r="U338" s="6"/>
    </row>
    <row r="339" spans="18:21" ht="20.100000000000001" customHeight="1" x14ac:dyDescent="0.2">
      <c r="R339" s="6"/>
      <c r="S339" s="6"/>
      <c r="T339" s="6"/>
      <c r="U339" s="6"/>
    </row>
    <row r="340" spans="18:21" ht="20.100000000000001" customHeight="1" x14ac:dyDescent="0.2">
      <c r="R340" s="6"/>
      <c r="S340" s="6"/>
      <c r="T340" s="6"/>
      <c r="U340" s="6"/>
    </row>
    <row r="341" spans="18:21" ht="20.100000000000001" customHeight="1" x14ac:dyDescent="0.2">
      <c r="R341" s="6"/>
      <c r="S341" s="6"/>
      <c r="T341" s="6"/>
      <c r="U341" s="6"/>
    </row>
    <row r="342" spans="18:21" ht="20.100000000000001" customHeight="1" x14ac:dyDescent="0.2">
      <c r="R342" s="6"/>
      <c r="S342" s="6"/>
      <c r="T342" s="6"/>
      <c r="U342" s="6"/>
    </row>
    <row r="343" spans="18:21" ht="20.100000000000001" customHeight="1" x14ac:dyDescent="0.2">
      <c r="R343" s="6"/>
      <c r="S343" s="6"/>
      <c r="T343" s="6"/>
      <c r="U343" s="6"/>
    </row>
    <row r="344" spans="18:21" ht="20.100000000000001" customHeight="1" x14ac:dyDescent="0.2">
      <c r="R344" s="6"/>
      <c r="S344" s="6"/>
      <c r="T344" s="6"/>
      <c r="U344" s="6"/>
    </row>
    <row r="345" spans="18:21" ht="20.100000000000001" customHeight="1" x14ac:dyDescent="0.2">
      <c r="R345" s="6"/>
      <c r="S345" s="6"/>
      <c r="T345" s="6"/>
      <c r="U345" s="6"/>
    </row>
    <row r="346" spans="18:21" ht="20.100000000000001" customHeight="1" x14ac:dyDescent="0.2">
      <c r="R346" s="6"/>
      <c r="S346" s="6"/>
      <c r="T346" s="6"/>
      <c r="U346" s="6"/>
    </row>
    <row r="347" spans="18:21" ht="20.100000000000001" customHeight="1" x14ac:dyDescent="0.2">
      <c r="R347" s="6"/>
      <c r="S347" s="6"/>
      <c r="T347" s="6"/>
      <c r="U347" s="6"/>
    </row>
  </sheetData>
  <mergeCells count="5">
    <mergeCell ref="O1:P1"/>
    <mergeCell ref="Q1:R1"/>
    <mergeCell ref="O2:R2"/>
    <mergeCell ref="O3:R3"/>
    <mergeCell ref="A203:K203"/>
  </mergeCells>
  <conditionalFormatting sqref="P6:P15">
    <cfRule type="duplicateValues" dxfId="1" priority="347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zoomScale="115" zoomScaleNormal="115" workbookViewId="0">
      <pane ySplit="4" topLeftCell="A5" activePane="bottomLeft" state="frozen"/>
      <selection pane="bottomLeft" activeCell="O10" sqref="O10"/>
    </sheetView>
  </sheetViews>
  <sheetFormatPr defaultColWidth="9.140625" defaultRowHeight="20.100000000000001" customHeight="1" x14ac:dyDescent="0.2"/>
  <cols>
    <col min="1" max="1" width="9.140625" style="16"/>
    <col min="2" max="2" width="13.42578125" style="3" bestFit="1" customWidth="1"/>
    <col min="3" max="3" width="9.140625" style="3"/>
    <col min="4" max="4" width="13.7109375" style="6" customWidth="1"/>
    <col min="5" max="5" width="5.7109375" style="6" customWidth="1"/>
    <col min="6" max="7" width="6.7109375" style="6" customWidth="1"/>
    <col min="8" max="10" width="6.7109375" style="6" hidden="1" customWidth="1"/>
    <col min="11" max="11" width="14" style="6" hidden="1" customWidth="1"/>
    <col min="12" max="12" width="32.85546875" style="54" hidden="1" customWidth="1"/>
    <col min="13" max="13" width="9.5703125" style="7" hidden="1" customWidth="1"/>
    <col min="14" max="14" width="42.85546875" style="60" hidden="1" customWidth="1"/>
    <col min="15" max="15" width="28.28515625" style="7" bestFit="1" customWidth="1"/>
    <col min="16" max="16" width="13" style="7" bestFit="1" customWidth="1"/>
    <col min="17" max="17" width="15.42578125" style="6" bestFit="1" customWidth="1"/>
    <col min="18" max="18" width="15.42578125" style="6" customWidth="1"/>
    <col min="19" max="21" width="11.5703125" style="15" bestFit="1" customWidth="1"/>
    <col min="22" max="22" width="9.140625" style="3"/>
    <col min="23" max="16384" width="9.140625" style="1"/>
  </cols>
  <sheetData>
    <row r="1" spans="1:22" ht="20.100000000000001" customHeight="1" x14ac:dyDescent="0.2">
      <c r="P1" s="170">
        <f ca="1">TODAY()</f>
        <v>46084</v>
      </c>
      <c r="Q1" s="171"/>
      <c r="R1" s="172">
        <f ca="1">TODAY()</f>
        <v>46084</v>
      </c>
      <c r="S1" s="172"/>
      <c r="U1" s="19"/>
    </row>
    <row r="2" spans="1:22" ht="20.100000000000001" customHeight="1" x14ac:dyDescent="0.2">
      <c r="P2" s="173" t="s">
        <v>274</v>
      </c>
      <c r="Q2" s="173"/>
      <c r="R2" s="173"/>
      <c r="S2" s="173"/>
      <c r="U2" s="19"/>
    </row>
    <row r="3" spans="1:22" ht="20.100000000000001" customHeight="1" x14ac:dyDescent="0.2">
      <c r="P3" s="173" t="s">
        <v>273</v>
      </c>
      <c r="Q3" s="173"/>
      <c r="R3" s="173"/>
      <c r="S3" s="173"/>
      <c r="U3" s="19"/>
    </row>
    <row r="4" spans="1:22" ht="20.100000000000001" customHeight="1" x14ac:dyDescent="0.2">
      <c r="A4" s="17" t="s">
        <v>10</v>
      </c>
      <c r="B4" s="25" t="s">
        <v>9</v>
      </c>
      <c r="C4" s="25" t="s">
        <v>45</v>
      </c>
      <c r="D4" s="25" t="s">
        <v>5</v>
      </c>
      <c r="E4" s="25" t="s">
        <v>6</v>
      </c>
      <c r="F4" s="25" t="s">
        <v>7</v>
      </c>
      <c r="G4" s="25" t="s">
        <v>46</v>
      </c>
      <c r="H4" s="25" t="s">
        <v>15</v>
      </c>
      <c r="I4" s="25" t="s">
        <v>16</v>
      </c>
      <c r="J4" s="25" t="s">
        <v>394</v>
      </c>
      <c r="K4" s="25" t="s">
        <v>17</v>
      </c>
      <c r="L4" s="55" t="s">
        <v>0</v>
      </c>
      <c r="M4" s="25">
        <v>1</v>
      </c>
      <c r="N4" s="61"/>
      <c r="O4" s="25" t="s">
        <v>11</v>
      </c>
      <c r="P4" s="25" t="s">
        <v>1</v>
      </c>
      <c r="Q4" s="25" t="s">
        <v>2</v>
      </c>
      <c r="R4" s="25" t="s">
        <v>3</v>
      </c>
      <c r="S4" s="12" t="s">
        <v>12</v>
      </c>
      <c r="T4" s="12" t="s">
        <v>13</v>
      </c>
      <c r="U4" s="12" t="s">
        <v>14</v>
      </c>
      <c r="V4" s="25" t="s">
        <v>8</v>
      </c>
    </row>
    <row r="5" spans="1:22" s="23" customFormat="1" ht="20.100000000000001" customHeight="1" x14ac:dyDescent="0.2">
      <c r="A5" s="21"/>
      <c r="B5" s="22"/>
      <c r="C5" s="22"/>
      <c r="D5" s="24"/>
      <c r="E5" s="24"/>
      <c r="F5" s="9"/>
      <c r="G5" s="9"/>
      <c r="H5" s="9">
        <f>IF(D5="",0,IF(VALUE(D5)&gt;VALUE(E5),IF(OR(VALUE(D5)=13,VALUE(D5)=20,VALUE(D5)=72,VALUE(D5)=75,VALUE(D5)=78,VALUE(D5)=80,VALUE(D5)=84),D5,IF(VALUE(D5)&lt;72,72,IF(VALUE(D5)&lt;75,75,IF(VALUE(D5)&lt;78,78,IF(VALUE(D5)&lt;80,80,IF(VALUE(D5)&lt;84,84,IF(VALUE(D5)&gt;84,84,""""))))))),IF(OR(VALUE(D5)=13,VALUE(D5)=20,VALUE(D5)=30,VALUE(D5)=33,VALUE(D5)=36,VALUE(D5)=39,VALUE(D5)=42,VALUE(D5)=45,VALUE(D5)=48,VALUE(D5)=51,VALUE(D5)=54,VALUE(D5)=57,VALUE(D5)=60,VALUE(D5)=63,VALUE(D5)=66,VALUE(D5)=69,VALUE(D5)=72),D5,IF(VALUE(D5)&lt;30,30,IF(VALUE(D5)&lt;33,33,IF(VALUE(D5)&lt;36,36,IF(VALUE(D5)&lt;39,39,IF(VALUE(D5)&lt;42,42,IF(VALUE(D5)&lt;45,45,IF(VALUE(D5)&lt;48,48,IF(VALUE(D5)&lt;51,51,IF(VALUE(D5)&lt;54,54,IF(VALUE(D5)&lt;57,57,IF(VALUE(D5)&lt;60,60,IF(VALUE(D5)&lt;63,63,IF(VALUE(D5)&lt;66,66,IF(VALUE(D5)&lt;69,69,IF(VALUE(D5)&lt;72,72,IF(VALUE(D5)&gt;72,72,"""")))))))))))))))))))</f>
        <v>0</v>
      </c>
      <c r="I5" s="9">
        <f>IF(E5="",0,IF(VALUE(D5)&gt;VALUE(E5),IF(OR(VALUE(E5)=13,VALUE(E5)=18,VALUE(E5)=30,VALUE(E5)=33,VALUE(E5)=36,VALUE(E5)=39,VALUE(E5)=42,VALUE(E5)=45,VALUE(E5)=48,VALUE(E5)=51,VALUE(E5)=54,VALUE(E5)=57,VALUE(E5)=60,VALUE(E5)=63,VALUE(E5)=66,VALUE(E5)=69,VALUE(E5)=72),E5,IF(VALUE(E5)&lt;30,30,IF(VALUE(E5)&lt;33,33,IF(VALUE(E5)&lt;36,36,IF(VALUE(E5)&lt;39,39,IF(VALUE(E5)&lt;42,42,IF(VALUE(E5)&lt;45,45,IF(VALUE(E5)&lt;48,48,IF(VALUE(E5)&lt;51,51,IF(VALUE(E5)&lt;54,54,IF(VALUE(E5)&lt;57,57,IF(VALUE(E5)&lt;60,60,IF(VALUE(E5)&lt;63,63,IF(VALUE(E5)&lt;66,66,IF(VALUE(E5)&lt;69,69,IF(VALUE(E5)&lt;72,72,IF(VALUE(E5)&gt;72,72,""""))))))))))))))))),IF(OR(VALUE(E5)=13,VALUE(E5)=18,VALUE(E5)=72,VALUE(E5)=75,VALUE(E5)=78,VALUE(E5)=80,VALUE(E5)=84),E5,IF(VALUE(E5)&lt;72,72,IF(VALUE(E5)&lt;75,75,IF(VALUE(E5)&lt;78,78,IF(VALUE(E5)&lt;80,80,IF(VALUE(E5)&lt;84,84,IF(VALUE(E5)&gt;84,84,"""")))))))))</f>
        <v>0</v>
      </c>
      <c r="J5" s="9" t="str">
        <f>IF(F5&gt;7,F5,"")</f>
        <v/>
      </c>
      <c r="K5" s="9" t="str">
        <f>B5&amp;"-"&amp;C5</f>
        <v>-</v>
      </c>
      <c r="L5" s="52" t="str">
        <f>IFERROR(VLOOKUP(K5,MASTER!$C$25:$D$30,2,0),"")</f>
        <v/>
      </c>
      <c r="M5" s="4" t="str">
        <f>IFERROR(IF(J5=8,(H5&amp;"X"&amp;I5&amp;"X"&amp;"0"&amp;J5),(H5&amp;"X"&amp;I5)),"")</f>
        <v>0X0</v>
      </c>
      <c r="N5" s="62" t="str">
        <f>L5&amp;M5</f>
        <v>0X0</v>
      </c>
      <c r="O5" s="4" t="str">
        <f t="shared" ref="O5:O68" si="0">N5</f>
        <v>0X0</v>
      </c>
      <c r="P5" s="5">
        <f>+G5</f>
        <v>0</v>
      </c>
      <c r="Q5" s="9"/>
      <c r="R5" s="9"/>
      <c r="S5" s="13"/>
      <c r="T5" s="13"/>
      <c r="U5" s="13"/>
      <c r="V5" s="5"/>
    </row>
    <row r="6" spans="1:22" s="23" customFormat="1" ht="20.100000000000001" customHeight="1" x14ac:dyDescent="0.2">
      <c r="A6" s="21"/>
      <c r="B6" s="22"/>
      <c r="C6" s="22"/>
      <c r="D6" s="24"/>
      <c r="E6" s="24"/>
      <c r="F6" s="9"/>
      <c r="G6" s="9"/>
      <c r="H6" s="9">
        <f t="shared" ref="H6:H69" si="1">IF(D6="",0,IF(VALUE(D6)&gt;VALUE(E6),IF(OR(VALUE(D6)=13,VALUE(D6)=20,VALUE(D6)=72,VALUE(D6)=75,VALUE(D6)=78,VALUE(D6)=80,VALUE(D6)=84),D6,IF(VALUE(D6)&lt;72,72,IF(VALUE(D6)&lt;75,75,IF(VALUE(D6)&lt;78,78,IF(VALUE(D6)&lt;80,80,IF(VALUE(D6)&lt;84,84,IF(VALUE(D6)&gt;84,84,""""))))))),IF(OR(VALUE(D6)=13,VALUE(D6)=20,VALUE(D6)=30,VALUE(D6)=33,VALUE(D6)=36,VALUE(D6)=39,VALUE(D6)=42,VALUE(D6)=45,VALUE(D6)=48,VALUE(D6)=51,VALUE(D6)=54,VALUE(D6)=57,VALUE(D6)=60,VALUE(D6)=63,VALUE(D6)=66,VALUE(D6)=69,VALUE(D6)=72),D6,IF(VALUE(D6)&lt;30,30,IF(VALUE(D6)&lt;33,33,IF(VALUE(D6)&lt;36,36,IF(VALUE(D6)&lt;39,39,IF(VALUE(D6)&lt;42,42,IF(VALUE(D6)&lt;45,45,IF(VALUE(D6)&lt;48,48,IF(VALUE(D6)&lt;51,51,IF(VALUE(D6)&lt;54,54,IF(VALUE(D6)&lt;57,57,IF(VALUE(D6)&lt;60,60,IF(VALUE(D6)&lt;63,63,IF(VALUE(D6)&lt;66,66,IF(VALUE(D6)&lt;69,69,IF(VALUE(D6)&lt;72,72,IF(VALUE(D6)&gt;72,72,"""")))))))))))))))))))</f>
        <v>0</v>
      </c>
      <c r="I6" s="9">
        <f t="shared" ref="I6:I69" si="2">IF(E6="",0,IF(VALUE(D6)&gt;VALUE(E6),IF(OR(VALUE(E6)=13,VALUE(E6)=18,VALUE(E6)=30,VALUE(E6)=33,VALUE(E6)=36,VALUE(E6)=39,VALUE(E6)=42,VALUE(E6)=45,VALUE(E6)=48,VALUE(E6)=51,VALUE(E6)=54,VALUE(E6)=57,VALUE(E6)=60,VALUE(E6)=63,VALUE(E6)=66,VALUE(E6)=69,VALUE(E6)=72),E6,IF(VALUE(E6)&lt;30,30,IF(VALUE(E6)&lt;33,33,IF(VALUE(E6)&lt;36,36,IF(VALUE(E6)&lt;39,39,IF(VALUE(E6)&lt;42,42,IF(VALUE(E6)&lt;45,45,IF(VALUE(E6)&lt;48,48,IF(VALUE(E6)&lt;51,51,IF(VALUE(E6)&lt;54,54,IF(VALUE(E6)&lt;57,57,IF(VALUE(E6)&lt;60,60,IF(VALUE(E6)&lt;63,63,IF(VALUE(E6)&lt;66,66,IF(VALUE(E6)&lt;69,69,IF(VALUE(E6)&lt;72,72,IF(VALUE(E6)&gt;72,72,""""))))))))))))))))),IF(OR(VALUE(E6)=13,VALUE(E6)=18,VALUE(E6)=72,VALUE(E6)=75,VALUE(E6)=78,VALUE(E6)=80,VALUE(E6)=84),E6,IF(VALUE(E6)&lt;72,72,IF(VALUE(E6)&lt;75,75,IF(VALUE(E6)&lt;78,78,IF(VALUE(E6)&lt;80,80,IF(VALUE(E6)&lt;84,84,IF(VALUE(E6)&gt;84,84,"""")))))))))</f>
        <v>0</v>
      </c>
      <c r="J6" s="9" t="str">
        <f t="shared" ref="J6:J69" si="3">IF(F6&gt;7,F6,"")</f>
        <v/>
      </c>
      <c r="K6" s="9" t="str">
        <f>B6&amp;"-"&amp;C6</f>
        <v>-</v>
      </c>
      <c r="L6" s="52" t="str">
        <f>IFERROR(VLOOKUP(K6,MASTER!$C$25:$D$30,2,0),"")</f>
        <v/>
      </c>
      <c r="M6" s="4" t="str">
        <f t="shared" ref="M6:M69" si="4">IFERROR(IF(J6=8,(H6&amp;"X"&amp;I6&amp;"X"&amp;"0"&amp;J6),(H6&amp;"X"&amp;I6)),"")</f>
        <v>0X0</v>
      </c>
      <c r="N6" s="62" t="str">
        <f t="shared" ref="N6:N7" si="5">L6&amp;M6</f>
        <v>0X0</v>
      </c>
      <c r="O6" s="4" t="str">
        <f t="shared" si="0"/>
        <v>0X0</v>
      </c>
      <c r="P6" s="5">
        <f t="shared" ref="P6:P69" si="6">+G6</f>
        <v>0</v>
      </c>
      <c r="Q6" s="9"/>
      <c r="R6" s="9"/>
      <c r="S6" s="13"/>
      <c r="T6" s="13"/>
      <c r="U6" s="13"/>
      <c r="V6" s="5"/>
    </row>
    <row r="7" spans="1:22" s="23" customFormat="1" ht="20.100000000000001" customHeight="1" x14ac:dyDescent="0.2">
      <c r="A7" s="21"/>
      <c r="B7" s="22"/>
      <c r="C7" s="22"/>
      <c r="D7" s="24"/>
      <c r="E7" s="24"/>
      <c r="F7" s="9"/>
      <c r="G7" s="9"/>
      <c r="H7" s="9">
        <f t="shared" si="1"/>
        <v>0</v>
      </c>
      <c r="I7" s="9">
        <f t="shared" si="2"/>
        <v>0</v>
      </c>
      <c r="J7" s="9" t="str">
        <f t="shared" si="3"/>
        <v/>
      </c>
      <c r="K7" s="9" t="str">
        <f>B7&amp;"-"&amp;C7</f>
        <v>-</v>
      </c>
      <c r="L7" s="52" t="str">
        <f>IFERROR(VLOOKUP(K7,MASTER!$C$25:$D$30,2,0),"")</f>
        <v/>
      </c>
      <c r="M7" s="4" t="str">
        <f t="shared" si="4"/>
        <v>0X0</v>
      </c>
      <c r="N7" s="62" t="str">
        <f t="shared" si="5"/>
        <v>0X0</v>
      </c>
      <c r="O7" s="4" t="str">
        <f t="shared" si="0"/>
        <v>0X0</v>
      </c>
      <c r="P7" s="5">
        <f t="shared" si="6"/>
        <v>0</v>
      </c>
      <c r="Q7" s="9"/>
      <c r="R7" s="9"/>
      <c r="S7" s="13"/>
      <c r="T7" s="13"/>
      <c r="U7" s="13"/>
      <c r="V7" s="5"/>
    </row>
    <row r="8" spans="1:22" s="23" customFormat="1" ht="20.100000000000001" customHeight="1" x14ac:dyDescent="0.2">
      <c r="A8" s="21"/>
      <c r="B8" s="22"/>
      <c r="C8" s="22"/>
      <c r="D8" s="24"/>
      <c r="E8" s="24"/>
      <c r="F8" s="9"/>
      <c r="G8" s="9"/>
      <c r="H8" s="9">
        <f t="shared" si="1"/>
        <v>0</v>
      </c>
      <c r="I8" s="9">
        <f t="shared" si="2"/>
        <v>0</v>
      </c>
      <c r="J8" s="9" t="str">
        <f t="shared" si="3"/>
        <v/>
      </c>
      <c r="K8" s="9" t="str">
        <f>B8&amp;"-"&amp;C8</f>
        <v>-</v>
      </c>
      <c r="L8" s="52" t="str">
        <f>IFERROR(VLOOKUP(K8,MASTER!$C$25:$D$30,2,0),"")</f>
        <v/>
      </c>
      <c r="M8" s="4" t="str">
        <f t="shared" si="4"/>
        <v>0X0</v>
      </c>
      <c r="N8" s="62" t="str">
        <f>IFERROR((L8&amp;M8),"")</f>
        <v>0X0</v>
      </c>
      <c r="O8" s="4" t="str">
        <f t="shared" si="0"/>
        <v>0X0</v>
      </c>
      <c r="P8" s="5">
        <f t="shared" si="6"/>
        <v>0</v>
      </c>
      <c r="Q8" s="9"/>
      <c r="R8" s="9"/>
      <c r="S8" s="13"/>
      <c r="T8" s="13"/>
      <c r="U8" s="13"/>
      <c r="V8" s="5"/>
    </row>
    <row r="9" spans="1:22" s="23" customFormat="1" ht="20.100000000000001" customHeight="1" x14ac:dyDescent="0.2">
      <c r="A9" s="21"/>
      <c r="B9" s="22"/>
      <c r="C9" s="5"/>
      <c r="D9" s="24"/>
      <c r="E9" s="24"/>
      <c r="F9" s="9"/>
      <c r="G9" s="9"/>
      <c r="H9" s="9">
        <f t="shared" si="1"/>
        <v>0</v>
      </c>
      <c r="I9" s="9">
        <f t="shared" si="2"/>
        <v>0</v>
      </c>
      <c r="J9" s="9" t="str">
        <f t="shared" si="3"/>
        <v/>
      </c>
      <c r="K9" s="9" t="str">
        <f t="shared" ref="K9:K72" si="7">B9&amp;"-"&amp;C9</f>
        <v>-</v>
      </c>
      <c r="L9" s="52" t="str">
        <f>IFERROR(VLOOKUP(K9,MASTER!$C$25:$D$30,2,0),"")</f>
        <v/>
      </c>
      <c r="M9" s="4" t="str">
        <f t="shared" si="4"/>
        <v>0X0</v>
      </c>
      <c r="N9" s="62" t="str">
        <f t="shared" ref="N9:N72" si="8">IFERROR((L9&amp;M9),"")</f>
        <v>0X0</v>
      </c>
      <c r="O9" s="4" t="str">
        <f t="shared" si="0"/>
        <v>0X0</v>
      </c>
      <c r="P9" s="5">
        <f t="shared" si="6"/>
        <v>0</v>
      </c>
      <c r="Q9" s="9"/>
      <c r="R9" s="9"/>
      <c r="S9" s="13"/>
      <c r="T9" s="13"/>
      <c r="U9" s="13"/>
      <c r="V9" s="5"/>
    </row>
    <row r="10" spans="1:22" s="23" customFormat="1" ht="20.100000000000001" customHeight="1" x14ac:dyDescent="0.2">
      <c r="A10" s="21"/>
      <c r="B10" s="5"/>
      <c r="C10" s="22"/>
      <c r="D10" s="24"/>
      <c r="E10" s="24"/>
      <c r="F10" s="9"/>
      <c r="G10" s="9"/>
      <c r="H10" s="9">
        <f t="shared" si="1"/>
        <v>0</v>
      </c>
      <c r="I10" s="9">
        <f t="shared" si="2"/>
        <v>0</v>
      </c>
      <c r="J10" s="9" t="str">
        <f t="shared" si="3"/>
        <v/>
      </c>
      <c r="K10" s="9" t="str">
        <f t="shared" si="7"/>
        <v>-</v>
      </c>
      <c r="L10" s="52" t="str">
        <f>IFERROR(VLOOKUP(K10,MASTER!$C$25:$D$30,2,0),"")</f>
        <v/>
      </c>
      <c r="M10" s="4" t="str">
        <f t="shared" si="4"/>
        <v>0X0</v>
      </c>
      <c r="N10" s="62" t="str">
        <f t="shared" si="8"/>
        <v>0X0</v>
      </c>
      <c r="O10" s="4" t="str">
        <f t="shared" si="0"/>
        <v>0X0</v>
      </c>
      <c r="P10" s="5">
        <f t="shared" si="6"/>
        <v>0</v>
      </c>
      <c r="Q10" s="9"/>
      <c r="R10" s="9"/>
      <c r="S10" s="13"/>
      <c r="T10" s="13"/>
      <c r="U10" s="13"/>
      <c r="V10" s="5"/>
    </row>
    <row r="11" spans="1:22" s="23" customFormat="1" ht="20.100000000000001" customHeight="1" x14ac:dyDescent="0.2">
      <c r="A11" s="21"/>
      <c r="B11" s="5"/>
      <c r="C11" s="22"/>
      <c r="D11" s="24"/>
      <c r="E11" s="24"/>
      <c r="F11" s="9"/>
      <c r="G11" s="9"/>
      <c r="H11" s="9">
        <f t="shared" si="1"/>
        <v>0</v>
      </c>
      <c r="I11" s="9">
        <f t="shared" si="2"/>
        <v>0</v>
      </c>
      <c r="J11" s="9" t="str">
        <f t="shared" si="3"/>
        <v/>
      </c>
      <c r="K11" s="9" t="str">
        <f t="shared" si="7"/>
        <v>-</v>
      </c>
      <c r="L11" s="52" t="str">
        <f>IFERROR(VLOOKUP(K11,MASTER!$C$25:$D$30,2,0),"")</f>
        <v/>
      </c>
      <c r="M11" s="4" t="str">
        <f t="shared" si="4"/>
        <v>0X0</v>
      </c>
      <c r="N11" s="62" t="str">
        <f t="shared" si="8"/>
        <v>0X0</v>
      </c>
      <c r="O11" s="4" t="str">
        <f t="shared" si="0"/>
        <v>0X0</v>
      </c>
      <c r="P11" s="5">
        <f t="shared" si="6"/>
        <v>0</v>
      </c>
      <c r="Q11" s="9"/>
      <c r="R11" s="9"/>
      <c r="S11" s="13"/>
      <c r="T11" s="13"/>
      <c r="U11" s="13"/>
      <c r="V11" s="5"/>
    </row>
    <row r="12" spans="1:22" s="23" customFormat="1" ht="20.100000000000001" customHeight="1" x14ac:dyDescent="0.2">
      <c r="A12" s="21"/>
      <c r="B12" s="5"/>
      <c r="C12" s="22"/>
      <c r="D12" s="24"/>
      <c r="E12" s="24"/>
      <c r="F12" s="9"/>
      <c r="G12" s="9"/>
      <c r="H12" s="9">
        <f t="shared" si="1"/>
        <v>0</v>
      </c>
      <c r="I12" s="9">
        <f t="shared" si="2"/>
        <v>0</v>
      </c>
      <c r="J12" s="9" t="str">
        <f t="shared" si="3"/>
        <v/>
      </c>
      <c r="K12" s="9" t="str">
        <f t="shared" si="7"/>
        <v>-</v>
      </c>
      <c r="L12" s="52" t="str">
        <f>IFERROR(VLOOKUP(K12,MASTER!$C$25:$D$30,2,0),"")</f>
        <v/>
      </c>
      <c r="M12" s="4" t="str">
        <f t="shared" si="4"/>
        <v>0X0</v>
      </c>
      <c r="N12" s="62" t="str">
        <f t="shared" si="8"/>
        <v>0X0</v>
      </c>
      <c r="O12" s="4" t="str">
        <f t="shared" si="0"/>
        <v>0X0</v>
      </c>
      <c r="P12" s="5">
        <f t="shared" si="6"/>
        <v>0</v>
      </c>
      <c r="Q12" s="9"/>
      <c r="R12" s="9"/>
      <c r="S12" s="13"/>
      <c r="T12" s="13"/>
      <c r="U12" s="13"/>
      <c r="V12" s="5"/>
    </row>
    <row r="13" spans="1:22" s="23" customFormat="1" ht="20.100000000000001" customHeight="1" x14ac:dyDescent="0.2">
      <c r="A13" s="21"/>
      <c r="B13" s="5"/>
      <c r="C13" s="5"/>
      <c r="D13" s="24"/>
      <c r="E13" s="24"/>
      <c r="F13" s="9"/>
      <c r="G13" s="9"/>
      <c r="H13" s="9">
        <f t="shared" si="1"/>
        <v>0</v>
      </c>
      <c r="I13" s="9">
        <f t="shared" si="2"/>
        <v>0</v>
      </c>
      <c r="J13" s="9" t="str">
        <f t="shared" si="3"/>
        <v/>
      </c>
      <c r="K13" s="9" t="str">
        <f t="shared" si="7"/>
        <v>-</v>
      </c>
      <c r="L13" s="52" t="str">
        <f>IFERROR(VLOOKUP(K13,MASTER!$C$25:$D$30,2,0),"")</f>
        <v/>
      </c>
      <c r="M13" s="4" t="str">
        <f t="shared" si="4"/>
        <v>0X0</v>
      </c>
      <c r="N13" s="62" t="str">
        <f t="shared" si="8"/>
        <v>0X0</v>
      </c>
      <c r="O13" s="4" t="str">
        <f t="shared" si="0"/>
        <v>0X0</v>
      </c>
      <c r="P13" s="5">
        <f t="shared" si="6"/>
        <v>0</v>
      </c>
      <c r="Q13" s="9"/>
      <c r="R13" s="9"/>
      <c r="S13" s="13"/>
      <c r="T13" s="13"/>
      <c r="U13" s="13"/>
      <c r="V13" s="5"/>
    </row>
    <row r="14" spans="1:22" s="23" customFormat="1" ht="20.100000000000001" customHeight="1" x14ac:dyDescent="0.2">
      <c r="A14" s="21"/>
      <c r="B14" s="5"/>
      <c r="C14" s="5"/>
      <c r="D14" s="24"/>
      <c r="E14" s="24"/>
      <c r="F14" s="9"/>
      <c r="G14" s="9"/>
      <c r="H14" s="9">
        <f t="shared" si="1"/>
        <v>0</v>
      </c>
      <c r="I14" s="9">
        <f t="shared" si="2"/>
        <v>0</v>
      </c>
      <c r="J14" s="9" t="str">
        <f t="shared" si="3"/>
        <v/>
      </c>
      <c r="K14" s="9" t="str">
        <f t="shared" si="7"/>
        <v>-</v>
      </c>
      <c r="L14" s="52" t="str">
        <f>IFERROR(VLOOKUP(K14,MASTER!$C$25:$D$30,2,0),"")</f>
        <v/>
      </c>
      <c r="M14" s="4" t="str">
        <f t="shared" si="4"/>
        <v>0X0</v>
      </c>
      <c r="N14" s="62" t="str">
        <f t="shared" si="8"/>
        <v>0X0</v>
      </c>
      <c r="O14" s="4" t="str">
        <f t="shared" si="0"/>
        <v>0X0</v>
      </c>
      <c r="P14" s="5">
        <f t="shared" si="6"/>
        <v>0</v>
      </c>
      <c r="Q14" s="9"/>
      <c r="R14" s="9"/>
      <c r="S14" s="13"/>
      <c r="T14" s="13"/>
      <c r="U14" s="13"/>
      <c r="V14" s="5"/>
    </row>
    <row r="15" spans="1:22" s="23" customFormat="1" ht="20.100000000000001" customHeight="1" x14ac:dyDescent="0.2">
      <c r="A15" s="21"/>
      <c r="B15" s="5"/>
      <c r="C15" s="22"/>
      <c r="D15" s="24"/>
      <c r="E15" s="24"/>
      <c r="F15" s="9"/>
      <c r="G15" s="9"/>
      <c r="H15" s="9">
        <f t="shared" si="1"/>
        <v>0</v>
      </c>
      <c r="I15" s="9">
        <f t="shared" si="2"/>
        <v>0</v>
      </c>
      <c r="J15" s="9" t="str">
        <f t="shared" si="3"/>
        <v/>
      </c>
      <c r="K15" s="9" t="str">
        <f t="shared" si="7"/>
        <v>-</v>
      </c>
      <c r="L15" s="52" t="str">
        <f>IFERROR(VLOOKUP(K15,MASTER!$C$25:$D$30,2,0),"")</f>
        <v/>
      </c>
      <c r="M15" s="4" t="str">
        <f t="shared" si="4"/>
        <v>0X0</v>
      </c>
      <c r="N15" s="62" t="str">
        <f t="shared" si="8"/>
        <v>0X0</v>
      </c>
      <c r="O15" s="4" t="str">
        <f t="shared" si="0"/>
        <v>0X0</v>
      </c>
      <c r="P15" s="5">
        <f t="shared" si="6"/>
        <v>0</v>
      </c>
      <c r="Q15" s="9"/>
      <c r="R15" s="9"/>
      <c r="S15" s="13"/>
      <c r="T15" s="13"/>
      <c r="U15" s="13"/>
      <c r="V15" s="5"/>
    </row>
    <row r="16" spans="1:22" ht="20.100000000000001" customHeight="1" x14ac:dyDescent="0.2">
      <c r="A16" s="21"/>
      <c r="B16" s="5"/>
      <c r="C16" s="22"/>
      <c r="D16" s="24"/>
      <c r="E16" s="24"/>
      <c r="F16" s="9"/>
      <c r="G16" s="9"/>
      <c r="H16" s="9">
        <f t="shared" si="1"/>
        <v>0</v>
      </c>
      <c r="I16" s="9">
        <f t="shared" si="2"/>
        <v>0</v>
      </c>
      <c r="J16" s="9" t="str">
        <f t="shared" si="3"/>
        <v/>
      </c>
      <c r="K16" s="9" t="str">
        <f t="shared" si="7"/>
        <v>-</v>
      </c>
      <c r="L16" s="52" t="str">
        <f>IFERROR(VLOOKUP(K16,MASTER!$C$25:$D$30,2,0),"")</f>
        <v/>
      </c>
      <c r="M16" s="4" t="str">
        <f t="shared" si="4"/>
        <v>0X0</v>
      </c>
      <c r="N16" s="62" t="str">
        <f t="shared" si="8"/>
        <v>0X0</v>
      </c>
      <c r="O16" s="4" t="str">
        <f t="shared" si="0"/>
        <v>0X0</v>
      </c>
      <c r="P16" s="5">
        <f t="shared" si="6"/>
        <v>0</v>
      </c>
      <c r="Q16" s="9"/>
      <c r="R16" s="9"/>
      <c r="S16" s="13"/>
      <c r="T16" s="13"/>
      <c r="U16" s="13"/>
      <c r="V16" s="5"/>
    </row>
    <row r="17" spans="1:22" ht="20.100000000000001" customHeight="1" x14ac:dyDescent="0.2">
      <c r="A17" s="21"/>
      <c r="B17" s="5"/>
      <c r="C17" s="22"/>
      <c r="D17" s="24"/>
      <c r="E17" s="24"/>
      <c r="F17" s="9"/>
      <c r="G17" s="9"/>
      <c r="H17" s="9">
        <f t="shared" si="1"/>
        <v>0</v>
      </c>
      <c r="I17" s="9">
        <f t="shared" si="2"/>
        <v>0</v>
      </c>
      <c r="J17" s="9" t="str">
        <f t="shared" si="3"/>
        <v/>
      </c>
      <c r="K17" s="9" t="str">
        <f t="shared" si="7"/>
        <v>-</v>
      </c>
      <c r="L17" s="52" t="str">
        <f>IFERROR(VLOOKUP(K17,MASTER!$C$25:$D$30,2,0),"")</f>
        <v/>
      </c>
      <c r="M17" s="4" t="str">
        <f t="shared" si="4"/>
        <v>0X0</v>
      </c>
      <c r="N17" s="62" t="str">
        <f t="shared" si="8"/>
        <v>0X0</v>
      </c>
      <c r="O17" s="4" t="str">
        <f t="shared" si="0"/>
        <v>0X0</v>
      </c>
      <c r="P17" s="5">
        <f t="shared" si="6"/>
        <v>0</v>
      </c>
      <c r="Q17" s="9"/>
      <c r="R17" s="9"/>
      <c r="S17" s="13"/>
      <c r="T17" s="13"/>
      <c r="U17" s="13"/>
      <c r="V17" s="5"/>
    </row>
    <row r="18" spans="1:22" ht="20.100000000000001" customHeight="1" x14ac:dyDescent="0.2">
      <c r="A18" s="21"/>
      <c r="B18" s="5"/>
      <c r="C18" s="5"/>
      <c r="D18" s="24"/>
      <c r="E18" s="24"/>
      <c r="F18" s="9"/>
      <c r="G18" s="9"/>
      <c r="H18" s="9">
        <f t="shared" si="1"/>
        <v>0</v>
      </c>
      <c r="I18" s="9">
        <f t="shared" si="2"/>
        <v>0</v>
      </c>
      <c r="J18" s="9" t="str">
        <f t="shared" si="3"/>
        <v/>
      </c>
      <c r="K18" s="9" t="str">
        <f t="shared" si="7"/>
        <v>-</v>
      </c>
      <c r="L18" s="52" t="str">
        <f>IFERROR(VLOOKUP(K18,MASTER!$C$25:$D$30,2,0),"")</f>
        <v/>
      </c>
      <c r="M18" s="4" t="str">
        <f t="shared" si="4"/>
        <v>0X0</v>
      </c>
      <c r="N18" s="62" t="str">
        <f t="shared" si="8"/>
        <v>0X0</v>
      </c>
      <c r="O18" s="4" t="str">
        <f t="shared" si="0"/>
        <v>0X0</v>
      </c>
      <c r="P18" s="5">
        <f t="shared" si="6"/>
        <v>0</v>
      </c>
      <c r="Q18" s="9"/>
      <c r="R18" s="9"/>
      <c r="S18" s="13"/>
      <c r="T18" s="13"/>
      <c r="U18" s="13"/>
      <c r="V18" s="5"/>
    </row>
    <row r="19" spans="1:22" ht="20.100000000000001" customHeight="1" x14ac:dyDescent="0.2">
      <c r="A19" s="21"/>
      <c r="B19" s="5"/>
      <c r="C19" s="5"/>
      <c r="D19" s="24"/>
      <c r="E19" s="24"/>
      <c r="F19" s="9"/>
      <c r="G19" s="9"/>
      <c r="H19" s="9">
        <f t="shared" si="1"/>
        <v>0</v>
      </c>
      <c r="I19" s="9">
        <f t="shared" si="2"/>
        <v>0</v>
      </c>
      <c r="J19" s="9" t="str">
        <f t="shared" si="3"/>
        <v/>
      </c>
      <c r="K19" s="9" t="str">
        <f t="shared" si="7"/>
        <v>-</v>
      </c>
      <c r="L19" s="52" t="str">
        <f>IFERROR(VLOOKUP(K19,MASTER!$C$25:$D$30,2,0),"")</f>
        <v/>
      </c>
      <c r="M19" s="4" t="str">
        <f t="shared" si="4"/>
        <v>0X0</v>
      </c>
      <c r="N19" s="62" t="str">
        <f t="shared" si="8"/>
        <v>0X0</v>
      </c>
      <c r="O19" s="4" t="str">
        <f t="shared" si="0"/>
        <v>0X0</v>
      </c>
      <c r="P19" s="5">
        <f t="shared" si="6"/>
        <v>0</v>
      </c>
      <c r="Q19" s="9"/>
      <c r="R19" s="9"/>
      <c r="S19" s="13"/>
      <c r="T19" s="13"/>
      <c r="U19" s="13"/>
      <c r="V19" s="5"/>
    </row>
    <row r="20" spans="1:22" ht="20.100000000000001" customHeight="1" x14ac:dyDescent="0.2">
      <c r="A20" s="21"/>
      <c r="B20" s="5"/>
      <c r="C20" s="22"/>
      <c r="D20" s="24"/>
      <c r="E20" s="24"/>
      <c r="F20" s="9"/>
      <c r="G20" s="9"/>
      <c r="H20" s="9">
        <f t="shared" si="1"/>
        <v>0</v>
      </c>
      <c r="I20" s="9">
        <f t="shared" si="2"/>
        <v>0</v>
      </c>
      <c r="J20" s="9" t="str">
        <f t="shared" si="3"/>
        <v/>
      </c>
      <c r="K20" s="9" t="str">
        <f t="shared" si="7"/>
        <v>-</v>
      </c>
      <c r="L20" s="52" t="str">
        <f>IFERROR(VLOOKUP(K20,MASTER!$C$25:$D$30,2,0),"")</f>
        <v/>
      </c>
      <c r="M20" s="4" t="str">
        <f t="shared" si="4"/>
        <v>0X0</v>
      </c>
      <c r="N20" s="62" t="str">
        <f t="shared" si="8"/>
        <v>0X0</v>
      </c>
      <c r="O20" s="4" t="str">
        <f t="shared" si="0"/>
        <v>0X0</v>
      </c>
      <c r="P20" s="5">
        <f t="shared" si="6"/>
        <v>0</v>
      </c>
      <c r="Q20" s="9"/>
      <c r="R20" s="9"/>
      <c r="S20" s="13"/>
      <c r="T20" s="13"/>
      <c r="U20" s="13"/>
      <c r="V20" s="5"/>
    </row>
    <row r="21" spans="1:22" ht="20.100000000000001" customHeight="1" x14ac:dyDescent="0.2">
      <c r="A21" s="21"/>
      <c r="B21" s="5"/>
      <c r="C21" s="22"/>
      <c r="D21" s="24"/>
      <c r="E21" s="24"/>
      <c r="F21" s="9"/>
      <c r="G21" s="9"/>
      <c r="H21" s="9">
        <f t="shared" si="1"/>
        <v>0</v>
      </c>
      <c r="I21" s="9">
        <f t="shared" si="2"/>
        <v>0</v>
      </c>
      <c r="J21" s="9" t="str">
        <f t="shared" si="3"/>
        <v/>
      </c>
      <c r="K21" s="9" t="str">
        <f t="shared" si="7"/>
        <v>-</v>
      </c>
      <c r="L21" s="52" t="str">
        <f>IFERROR(VLOOKUP(K21,MASTER!$C$25:$D$30,2,0),"")</f>
        <v/>
      </c>
      <c r="M21" s="4" t="str">
        <f t="shared" si="4"/>
        <v>0X0</v>
      </c>
      <c r="N21" s="62" t="str">
        <f t="shared" si="8"/>
        <v>0X0</v>
      </c>
      <c r="O21" s="4" t="str">
        <f t="shared" si="0"/>
        <v>0X0</v>
      </c>
      <c r="P21" s="5">
        <f t="shared" si="6"/>
        <v>0</v>
      </c>
      <c r="Q21" s="9"/>
      <c r="R21" s="9"/>
      <c r="S21" s="13"/>
      <c r="T21" s="13"/>
      <c r="U21" s="13"/>
      <c r="V21" s="5"/>
    </row>
    <row r="22" spans="1:22" ht="20.100000000000001" customHeight="1" x14ac:dyDescent="0.2">
      <c r="A22" s="21"/>
      <c r="B22" s="5"/>
      <c r="C22" s="22"/>
      <c r="D22" s="24"/>
      <c r="E22" s="24"/>
      <c r="F22" s="9"/>
      <c r="G22" s="9"/>
      <c r="H22" s="9">
        <f t="shared" si="1"/>
        <v>0</v>
      </c>
      <c r="I22" s="9">
        <f t="shared" si="2"/>
        <v>0</v>
      </c>
      <c r="J22" s="9" t="str">
        <f t="shared" si="3"/>
        <v/>
      </c>
      <c r="K22" s="9" t="str">
        <f t="shared" si="7"/>
        <v>-</v>
      </c>
      <c r="L22" s="52" t="str">
        <f>IFERROR(VLOOKUP(K22,MASTER!$C$25:$D$30,2,0),"")</f>
        <v/>
      </c>
      <c r="M22" s="4" t="str">
        <f t="shared" si="4"/>
        <v>0X0</v>
      </c>
      <c r="N22" s="62" t="str">
        <f t="shared" si="8"/>
        <v>0X0</v>
      </c>
      <c r="O22" s="4" t="str">
        <f t="shared" si="0"/>
        <v>0X0</v>
      </c>
      <c r="P22" s="5">
        <f t="shared" si="6"/>
        <v>0</v>
      </c>
      <c r="Q22" s="9"/>
      <c r="R22" s="9"/>
      <c r="S22" s="13"/>
      <c r="T22" s="13"/>
      <c r="U22" s="13"/>
      <c r="V22" s="5"/>
    </row>
    <row r="23" spans="1:22" ht="20.100000000000001" customHeight="1" x14ac:dyDescent="0.2">
      <c r="A23" s="21"/>
      <c r="B23" s="5"/>
      <c r="C23" s="5"/>
      <c r="D23" s="24"/>
      <c r="E23" s="24"/>
      <c r="F23" s="9"/>
      <c r="G23" s="9"/>
      <c r="H23" s="9">
        <f t="shared" si="1"/>
        <v>0</v>
      </c>
      <c r="I23" s="9">
        <f t="shared" si="2"/>
        <v>0</v>
      </c>
      <c r="J23" s="9" t="str">
        <f t="shared" si="3"/>
        <v/>
      </c>
      <c r="K23" s="9" t="str">
        <f t="shared" si="7"/>
        <v>-</v>
      </c>
      <c r="L23" s="52" t="str">
        <f>IFERROR(VLOOKUP(K23,MASTER!$C$25:$D$30,2,0),"")</f>
        <v/>
      </c>
      <c r="M23" s="4" t="str">
        <f t="shared" si="4"/>
        <v>0X0</v>
      </c>
      <c r="N23" s="62" t="str">
        <f t="shared" si="8"/>
        <v>0X0</v>
      </c>
      <c r="O23" s="4" t="str">
        <f t="shared" si="0"/>
        <v>0X0</v>
      </c>
      <c r="P23" s="5">
        <f t="shared" si="6"/>
        <v>0</v>
      </c>
      <c r="Q23" s="9"/>
      <c r="R23" s="9"/>
      <c r="S23" s="13"/>
      <c r="T23" s="13"/>
      <c r="U23" s="13"/>
      <c r="V23" s="5"/>
    </row>
    <row r="24" spans="1:22" ht="20.100000000000001" customHeight="1" x14ac:dyDescent="0.2">
      <c r="A24" s="21"/>
      <c r="B24" s="5"/>
      <c r="C24" s="5"/>
      <c r="D24" s="24"/>
      <c r="E24" s="24"/>
      <c r="F24" s="9"/>
      <c r="G24" s="9"/>
      <c r="H24" s="9">
        <f t="shared" si="1"/>
        <v>0</v>
      </c>
      <c r="I24" s="9">
        <f t="shared" si="2"/>
        <v>0</v>
      </c>
      <c r="J24" s="9" t="str">
        <f t="shared" si="3"/>
        <v/>
      </c>
      <c r="K24" s="9" t="str">
        <f t="shared" si="7"/>
        <v>-</v>
      </c>
      <c r="L24" s="52" t="str">
        <f>IFERROR(VLOOKUP(K24,MASTER!$C$25:$D$30,2,0),"")</f>
        <v/>
      </c>
      <c r="M24" s="4" t="str">
        <f t="shared" si="4"/>
        <v>0X0</v>
      </c>
      <c r="N24" s="62" t="str">
        <f t="shared" si="8"/>
        <v>0X0</v>
      </c>
      <c r="O24" s="4" t="str">
        <f t="shared" si="0"/>
        <v>0X0</v>
      </c>
      <c r="P24" s="5">
        <f t="shared" si="6"/>
        <v>0</v>
      </c>
      <c r="Q24" s="9"/>
      <c r="R24" s="9"/>
      <c r="S24" s="13"/>
      <c r="T24" s="13"/>
      <c r="U24" s="13"/>
      <c r="V24" s="5"/>
    </row>
    <row r="25" spans="1:22" ht="20.100000000000001" customHeight="1" x14ac:dyDescent="0.2">
      <c r="A25" s="21"/>
      <c r="B25" s="5"/>
      <c r="C25" s="22"/>
      <c r="D25" s="24"/>
      <c r="E25" s="24"/>
      <c r="F25" s="9"/>
      <c r="G25" s="9"/>
      <c r="H25" s="9">
        <f t="shared" si="1"/>
        <v>0</v>
      </c>
      <c r="I25" s="9">
        <f t="shared" si="2"/>
        <v>0</v>
      </c>
      <c r="J25" s="9" t="str">
        <f t="shared" si="3"/>
        <v/>
      </c>
      <c r="K25" s="9" t="str">
        <f t="shared" si="7"/>
        <v>-</v>
      </c>
      <c r="L25" s="52" t="str">
        <f>IFERROR(VLOOKUP(K25,MASTER!$C$25:$D$30,2,0),"")</f>
        <v/>
      </c>
      <c r="M25" s="4" t="str">
        <f t="shared" si="4"/>
        <v>0X0</v>
      </c>
      <c r="N25" s="62" t="str">
        <f t="shared" si="8"/>
        <v>0X0</v>
      </c>
      <c r="O25" s="4" t="str">
        <f t="shared" si="0"/>
        <v>0X0</v>
      </c>
      <c r="P25" s="5">
        <f t="shared" si="6"/>
        <v>0</v>
      </c>
      <c r="Q25" s="9"/>
      <c r="R25" s="9"/>
      <c r="S25" s="13"/>
      <c r="T25" s="13"/>
      <c r="U25" s="13"/>
      <c r="V25" s="5"/>
    </row>
    <row r="26" spans="1:22" ht="20.100000000000001" customHeight="1" x14ac:dyDescent="0.2">
      <c r="A26" s="21"/>
      <c r="B26" s="5"/>
      <c r="C26" s="22"/>
      <c r="D26" s="24"/>
      <c r="E26" s="24"/>
      <c r="F26" s="9"/>
      <c r="G26" s="9"/>
      <c r="H26" s="9">
        <f t="shared" si="1"/>
        <v>0</v>
      </c>
      <c r="I26" s="9">
        <f t="shared" si="2"/>
        <v>0</v>
      </c>
      <c r="J26" s="9" t="str">
        <f t="shared" si="3"/>
        <v/>
      </c>
      <c r="K26" s="9" t="str">
        <f t="shared" si="7"/>
        <v>-</v>
      </c>
      <c r="L26" s="52" t="str">
        <f>IFERROR(VLOOKUP(K26,MASTER!$C$25:$D$30,2,0),"")</f>
        <v/>
      </c>
      <c r="M26" s="4" t="str">
        <f t="shared" si="4"/>
        <v>0X0</v>
      </c>
      <c r="N26" s="62" t="str">
        <f t="shared" si="8"/>
        <v>0X0</v>
      </c>
      <c r="O26" s="4" t="str">
        <f t="shared" si="0"/>
        <v>0X0</v>
      </c>
      <c r="P26" s="5">
        <f t="shared" si="6"/>
        <v>0</v>
      </c>
      <c r="Q26" s="9"/>
      <c r="R26" s="9"/>
      <c r="S26" s="13"/>
      <c r="T26" s="13"/>
      <c r="U26" s="13"/>
      <c r="V26" s="5"/>
    </row>
    <row r="27" spans="1:22" ht="20.100000000000001" customHeight="1" x14ac:dyDescent="0.2">
      <c r="A27" s="21"/>
      <c r="B27" s="5"/>
      <c r="C27" s="22"/>
      <c r="D27" s="24"/>
      <c r="E27" s="24"/>
      <c r="F27" s="9"/>
      <c r="G27" s="9"/>
      <c r="H27" s="9">
        <f t="shared" si="1"/>
        <v>0</v>
      </c>
      <c r="I27" s="9">
        <f t="shared" si="2"/>
        <v>0</v>
      </c>
      <c r="J27" s="9" t="str">
        <f t="shared" si="3"/>
        <v/>
      </c>
      <c r="K27" s="9" t="str">
        <f t="shared" si="7"/>
        <v>-</v>
      </c>
      <c r="L27" s="52" t="str">
        <f>IFERROR(VLOOKUP(K27,MASTER!$C$25:$D$30,2,0),"")</f>
        <v/>
      </c>
      <c r="M27" s="4" t="str">
        <f t="shared" si="4"/>
        <v>0X0</v>
      </c>
      <c r="N27" s="62" t="str">
        <f t="shared" si="8"/>
        <v>0X0</v>
      </c>
      <c r="O27" s="4" t="str">
        <f t="shared" si="0"/>
        <v>0X0</v>
      </c>
      <c r="P27" s="5">
        <f t="shared" si="6"/>
        <v>0</v>
      </c>
      <c r="Q27" s="9"/>
      <c r="R27" s="9"/>
      <c r="S27" s="13"/>
      <c r="T27" s="13"/>
      <c r="U27" s="13"/>
      <c r="V27" s="5"/>
    </row>
    <row r="28" spans="1:22" ht="20.100000000000001" customHeight="1" x14ac:dyDescent="0.2">
      <c r="A28" s="21"/>
      <c r="B28" s="5"/>
      <c r="C28" s="5"/>
      <c r="D28" s="24"/>
      <c r="E28" s="24"/>
      <c r="F28" s="9"/>
      <c r="G28" s="9"/>
      <c r="H28" s="9">
        <f t="shared" si="1"/>
        <v>0</v>
      </c>
      <c r="I28" s="9">
        <f t="shared" si="2"/>
        <v>0</v>
      </c>
      <c r="J28" s="9" t="str">
        <f t="shared" si="3"/>
        <v/>
      </c>
      <c r="K28" s="9" t="str">
        <f t="shared" si="7"/>
        <v>-</v>
      </c>
      <c r="L28" s="52" t="str">
        <f>IFERROR(VLOOKUP(K28,MASTER!$C$25:$D$30,2,0),"")</f>
        <v/>
      </c>
      <c r="M28" s="4" t="str">
        <f t="shared" si="4"/>
        <v>0X0</v>
      </c>
      <c r="N28" s="62" t="str">
        <f t="shared" si="8"/>
        <v>0X0</v>
      </c>
      <c r="O28" s="4" t="str">
        <f t="shared" si="0"/>
        <v>0X0</v>
      </c>
      <c r="P28" s="5">
        <f t="shared" si="6"/>
        <v>0</v>
      </c>
      <c r="Q28" s="9"/>
      <c r="R28" s="9"/>
      <c r="S28" s="13"/>
      <c r="T28" s="13"/>
      <c r="U28" s="13"/>
      <c r="V28" s="5"/>
    </row>
    <row r="29" spans="1:22" ht="20.100000000000001" customHeight="1" x14ac:dyDescent="0.2">
      <c r="A29" s="21"/>
      <c r="B29" s="5"/>
      <c r="C29" s="5"/>
      <c r="D29" s="24"/>
      <c r="E29" s="24"/>
      <c r="F29" s="9"/>
      <c r="G29" s="9"/>
      <c r="H29" s="9">
        <f t="shared" si="1"/>
        <v>0</v>
      </c>
      <c r="I29" s="9">
        <f t="shared" si="2"/>
        <v>0</v>
      </c>
      <c r="J29" s="9" t="str">
        <f t="shared" si="3"/>
        <v/>
      </c>
      <c r="K29" s="9" t="str">
        <f t="shared" si="7"/>
        <v>-</v>
      </c>
      <c r="L29" s="52" t="str">
        <f>IFERROR(VLOOKUP(K29,MASTER!$C$25:$D$30,2,0),"")</f>
        <v/>
      </c>
      <c r="M29" s="4" t="str">
        <f t="shared" si="4"/>
        <v>0X0</v>
      </c>
      <c r="N29" s="62" t="str">
        <f t="shared" si="8"/>
        <v>0X0</v>
      </c>
      <c r="O29" s="4" t="str">
        <f t="shared" si="0"/>
        <v>0X0</v>
      </c>
      <c r="P29" s="5">
        <f t="shared" si="6"/>
        <v>0</v>
      </c>
      <c r="Q29" s="9"/>
      <c r="R29" s="9"/>
      <c r="S29" s="13"/>
      <c r="T29" s="13"/>
      <c r="U29" s="13"/>
      <c r="V29" s="5"/>
    </row>
    <row r="30" spans="1:22" ht="20.100000000000001" customHeight="1" x14ac:dyDescent="0.2">
      <c r="A30" s="21"/>
      <c r="B30" s="5"/>
      <c r="C30" s="22"/>
      <c r="D30" s="24"/>
      <c r="E30" s="24"/>
      <c r="F30" s="9"/>
      <c r="G30" s="9"/>
      <c r="H30" s="9">
        <f t="shared" si="1"/>
        <v>0</v>
      </c>
      <c r="I30" s="9">
        <f t="shared" si="2"/>
        <v>0</v>
      </c>
      <c r="J30" s="9" t="str">
        <f t="shared" si="3"/>
        <v/>
      </c>
      <c r="K30" s="9" t="str">
        <f t="shared" si="7"/>
        <v>-</v>
      </c>
      <c r="L30" s="52" t="str">
        <f>IFERROR(VLOOKUP(K30,MASTER!$C$25:$D$30,2,0),"")</f>
        <v/>
      </c>
      <c r="M30" s="4" t="str">
        <f t="shared" si="4"/>
        <v>0X0</v>
      </c>
      <c r="N30" s="62" t="str">
        <f t="shared" si="8"/>
        <v>0X0</v>
      </c>
      <c r="O30" s="4" t="str">
        <f t="shared" si="0"/>
        <v>0X0</v>
      </c>
      <c r="P30" s="5">
        <f t="shared" si="6"/>
        <v>0</v>
      </c>
      <c r="Q30" s="9"/>
      <c r="R30" s="9"/>
      <c r="S30" s="13"/>
      <c r="T30" s="13"/>
      <c r="U30" s="13"/>
      <c r="V30" s="5"/>
    </row>
    <row r="31" spans="1:22" ht="20.100000000000001" customHeight="1" x14ac:dyDescent="0.2">
      <c r="A31" s="21"/>
      <c r="B31" s="5"/>
      <c r="C31" s="22"/>
      <c r="D31" s="24"/>
      <c r="E31" s="24"/>
      <c r="F31" s="9"/>
      <c r="G31" s="9"/>
      <c r="H31" s="9">
        <f t="shared" si="1"/>
        <v>0</v>
      </c>
      <c r="I31" s="9">
        <f t="shared" si="2"/>
        <v>0</v>
      </c>
      <c r="J31" s="9" t="str">
        <f t="shared" si="3"/>
        <v/>
      </c>
      <c r="K31" s="9" t="str">
        <f t="shared" si="7"/>
        <v>-</v>
      </c>
      <c r="L31" s="52" t="str">
        <f>IFERROR(VLOOKUP(K31,MASTER!$C$25:$D$30,2,0),"")</f>
        <v/>
      </c>
      <c r="M31" s="4" t="str">
        <f t="shared" si="4"/>
        <v>0X0</v>
      </c>
      <c r="N31" s="62" t="str">
        <f t="shared" si="8"/>
        <v>0X0</v>
      </c>
      <c r="O31" s="4" t="str">
        <f t="shared" si="0"/>
        <v>0X0</v>
      </c>
      <c r="P31" s="5">
        <f t="shared" si="6"/>
        <v>0</v>
      </c>
      <c r="Q31" s="9"/>
      <c r="R31" s="9"/>
      <c r="S31" s="13"/>
      <c r="T31" s="13"/>
      <c r="U31" s="13"/>
      <c r="V31" s="5"/>
    </row>
    <row r="32" spans="1:22" ht="20.100000000000001" customHeight="1" x14ac:dyDescent="0.2">
      <c r="A32" s="21"/>
      <c r="B32" s="5"/>
      <c r="C32" s="22"/>
      <c r="D32" s="24"/>
      <c r="E32" s="24"/>
      <c r="F32" s="9"/>
      <c r="G32" s="9"/>
      <c r="H32" s="9">
        <f t="shared" si="1"/>
        <v>0</v>
      </c>
      <c r="I32" s="9">
        <f t="shared" si="2"/>
        <v>0</v>
      </c>
      <c r="J32" s="9" t="str">
        <f t="shared" si="3"/>
        <v/>
      </c>
      <c r="K32" s="9" t="str">
        <f t="shared" si="7"/>
        <v>-</v>
      </c>
      <c r="L32" s="52" t="str">
        <f>IFERROR(VLOOKUP(K32,MASTER!$C$25:$D$30,2,0),"")</f>
        <v/>
      </c>
      <c r="M32" s="4" t="str">
        <f t="shared" si="4"/>
        <v>0X0</v>
      </c>
      <c r="N32" s="62" t="str">
        <f t="shared" si="8"/>
        <v>0X0</v>
      </c>
      <c r="O32" s="4" t="str">
        <f t="shared" si="0"/>
        <v>0X0</v>
      </c>
      <c r="P32" s="5">
        <f t="shared" si="6"/>
        <v>0</v>
      </c>
      <c r="Q32" s="9"/>
      <c r="R32" s="9"/>
      <c r="S32" s="13"/>
      <c r="T32" s="13"/>
      <c r="U32" s="13"/>
      <c r="V32" s="5"/>
    </row>
    <row r="33" spans="1:22" ht="20.100000000000001" customHeight="1" x14ac:dyDescent="0.2">
      <c r="A33" s="21"/>
      <c r="B33" s="5"/>
      <c r="C33" s="5"/>
      <c r="D33" s="24"/>
      <c r="E33" s="24"/>
      <c r="F33" s="9"/>
      <c r="G33" s="9"/>
      <c r="H33" s="9">
        <f t="shared" si="1"/>
        <v>0</v>
      </c>
      <c r="I33" s="9">
        <f t="shared" si="2"/>
        <v>0</v>
      </c>
      <c r="J33" s="9" t="str">
        <f t="shared" si="3"/>
        <v/>
      </c>
      <c r="K33" s="9" t="str">
        <f t="shared" si="7"/>
        <v>-</v>
      </c>
      <c r="L33" s="52" t="str">
        <f>IFERROR(VLOOKUP(K33,MASTER!$C$25:$D$30,2,0),"")</f>
        <v/>
      </c>
      <c r="M33" s="4" t="str">
        <f t="shared" si="4"/>
        <v>0X0</v>
      </c>
      <c r="N33" s="62" t="str">
        <f t="shared" si="8"/>
        <v>0X0</v>
      </c>
      <c r="O33" s="4" t="str">
        <f t="shared" si="0"/>
        <v>0X0</v>
      </c>
      <c r="P33" s="5">
        <f t="shared" si="6"/>
        <v>0</v>
      </c>
      <c r="Q33" s="9"/>
      <c r="R33" s="9"/>
      <c r="S33" s="13"/>
      <c r="T33" s="13"/>
      <c r="U33" s="13"/>
      <c r="V33" s="5"/>
    </row>
    <row r="34" spans="1:22" ht="20.100000000000001" customHeight="1" x14ac:dyDescent="0.2">
      <c r="A34" s="21"/>
      <c r="B34" s="5"/>
      <c r="C34" s="5"/>
      <c r="D34" s="24"/>
      <c r="E34" s="24"/>
      <c r="F34" s="9"/>
      <c r="G34" s="9"/>
      <c r="H34" s="9">
        <f t="shared" si="1"/>
        <v>0</v>
      </c>
      <c r="I34" s="9">
        <f t="shared" si="2"/>
        <v>0</v>
      </c>
      <c r="J34" s="9" t="str">
        <f t="shared" si="3"/>
        <v/>
      </c>
      <c r="K34" s="9" t="str">
        <f t="shared" si="7"/>
        <v>-</v>
      </c>
      <c r="L34" s="52" t="str">
        <f>IFERROR(VLOOKUP(K34,MASTER!$C$25:$D$30,2,0),"")</f>
        <v/>
      </c>
      <c r="M34" s="4" t="str">
        <f t="shared" si="4"/>
        <v>0X0</v>
      </c>
      <c r="N34" s="62" t="str">
        <f t="shared" si="8"/>
        <v>0X0</v>
      </c>
      <c r="O34" s="4" t="str">
        <f t="shared" si="0"/>
        <v>0X0</v>
      </c>
      <c r="P34" s="5">
        <f t="shared" si="6"/>
        <v>0</v>
      </c>
      <c r="Q34" s="9"/>
      <c r="R34" s="9"/>
      <c r="S34" s="13"/>
      <c r="T34" s="13"/>
      <c r="U34" s="13"/>
      <c r="V34" s="5"/>
    </row>
    <row r="35" spans="1:22" ht="20.100000000000001" customHeight="1" x14ac:dyDescent="0.2">
      <c r="A35" s="21"/>
      <c r="B35" s="5"/>
      <c r="C35" s="5"/>
      <c r="D35" s="9"/>
      <c r="E35" s="9"/>
      <c r="F35" s="9"/>
      <c r="G35" s="9"/>
      <c r="H35" s="9">
        <f t="shared" si="1"/>
        <v>0</v>
      </c>
      <c r="I35" s="9">
        <f t="shared" si="2"/>
        <v>0</v>
      </c>
      <c r="J35" s="9" t="str">
        <f t="shared" si="3"/>
        <v/>
      </c>
      <c r="K35" s="9" t="str">
        <f t="shared" si="7"/>
        <v>-</v>
      </c>
      <c r="L35" s="52" t="str">
        <f>IFERROR(VLOOKUP(K35,MASTER!$C$25:$D$30,2,0),"")</f>
        <v/>
      </c>
      <c r="M35" s="4" t="str">
        <f t="shared" si="4"/>
        <v>0X0</v>
      </c>
      <c r="N35" s="62" t="str">
        <f t="shared" si="8"/>
        <v>0X0</v>
      </c>
      <c r="O35" s="4" t="str">
        <f t="shared" si="0"/>
        <v>0X0</v>
      </c>
      <c r="P35" s="5">
        <f t="shared" si="6"/>
        <v>0</v>
      </c>
      <c r="Q35" s="9"/>
      <c r="R35" s="9"/>
      <c r="S35" s="13"/>
      <c r="T35" s="13"/>
      <c r="U35" s="13"/>
      <c r="V35" s="5"/>
    </row>
    <row r="36" spans="1:22" ht="20.100000000000001" customHeight="1" x14ac:dyDescent="0.2">
      <c r="A36" s="21"/>
      <c r="B36" s="22"/>
      <c r="C36" s="22"/>
      <c r="D36" s="9"/>
      <c r="E36" s="9"/>
      <c r="F36" s="9"/>
      <c r="G36" s="9"/>
      <c r="H36" s="9">
        <f t="shared" si="1"/>
        <v>0</v>
      </c>
      <c r="I36" s="9">
        <f t="shared" si="2"/>
        <v>0</v>
      </c>
      <c r="J36" s="9" t="str">
        <f t="shared" si="3"/>
        <v/>
      </c>
      <c r="K36" s="9" t="str">
        <f t="shared" si="7"/>
        <v>-</v>
      </c>
      <c r="L36" s="52" t="str">
        <f>IFERROR(VLOOKUP(K36,MASTER!$C$25:$D$30,2,0),"")</f>
        <v/>
      </c>
      <c r="M36" s="4" t="str">
        <f t="shared" si="4"/>
        <v>0X0</v>
      </c>
      <c r="N36" s="62" t="str">
        <f t="shared" si="8"/>
        <v>0X0</v>
      </c>
      <c r="O36" s="4" t="str">
        <f t="shared" si="0"/>
        <v>0X0</v>
      </c>
      <c r="P36" s="5">
        <f t="shared" si="6"/>
        <v>0</v>
      </c>
      <c r="Q36" s="9"/>
      <c r="R36" s="9"/>
      <c r="S36" s="13"/>
      <c r="T36" s="13"/>
      <c r="U36" s="13"/>
      <c r="V36" s="5"/>
    </row>
    <row r="37" spans="1:22" ht="20.100000000000001" customHeight="1" x14ac:dyDescent="0.2">
      <c r="A37" s="21"/>
      <c r="B37" s="5"/>
      <c r="C37" s="5"/>
      <c r="D37" s="9"/>
      <c r="E37" s="9"/>
      <c r="F37" s="9"/>
      <c r="G37" s="9"/>
      <c r="H37" s="9">
        <f t="shared" si="1"/>
        <v>0</v>
      </c>
      <c r="I37" s="9">
        <f t="shared" si="2"/>
        <v>0</v>
      </c>
      <c r="J37" s="9" t="str">
        <f t="shared" si="3"/>
        <v/>
      </c>
      <c r="K37" s="9" t="str">
        <f t="shared" si="7"/>
        <v>-</v>
      </c>
      <c r="L37" s="52" t="str">
        <f>IFERROR(VLOOKUP(K37,MASTER!$C$25:$D$30,2,0),"")</f>
        <v/>
      </c>
      <c r="M37" s="4" t="str">
        <f t="shared" si="4"/>
        <v>0X0</v>
      </c>
      <c r="N37" s="62" t="str">
        <f t="shared" si="8"/>
        <v>0X0</v>
      </c>
      <c r="O37" s="4" t="str">
        <f t="shared" si="0"/>
        <v>0X0</v>
      </c>
      <c r="P37" s="5">
        <f t="shared" si="6"/>
        <v>0</v>
      </c>
      <c r="Q37" s="9"/>
      <c r="R37" s="9"/>
      <c r="S37" s="13"/>
      <c r="T37" s="13"/>
      <c r="U37" s="13"/>
      <c r="V37" s="5"/>
    </row>
    <row r="38" spans="1:22" ht="20.100000000000001" customHeight="1" x14ac:dyDescent="0.2">
      <c r="A38" s="21"/>
      <c r="B38" s="5"/>
      <c r="C38" s="5"/>
      <c r="D38" s="9"/>
      <c r="E38" s="9"/>
      <c r="F38" s="9"/>
      <c r="G38" s="9"/>
      <c r="H38" s="9">
        <f t="shared" si="1"/>
        <v>0</v>
      </c>
      <c r="I38" s="9">
        <f t="shared" si="2"/>
        <v>0</v>
      </c>
      <c r="J38" s="9" t="str">
        <f t="shared" si="3"/>
        <v/>
      </c>
      <c r="K38" s="9" t="str">
        <f t="shared" si="7"/>
        <v>-</v>
      </c>
      <c r="L38" s="52" t="str">
        <f>IFERROR(VLOOKUP(K38,MASTER!$C$25:$D$30,2,0),"")</f>
        <v/>
      </c>
      <c r="M38" s="4" t="str">
        <f t="shared" si="4"/>
        <v>0X0</v>
      </c>
      <c r="N38" s="62" t="str">
        <f t="shared" si="8"/>
        <v>0X0</v>
      </c>
      <c r="O38" s="4" t="str">
        <f t="shared" si="0"/>
        <v>0X0</v>
      </c>
      <c r="P38" s="5">
        <f t="shared" si="6"/>
        <v>0</v>
      </c>
      <c r="Q38" s="9"/>
      <c r="R38" s="9"/>
      <c r="S38" s="13"/>
      <c r="T38" s="13"/>
      <c r="U38" s="13"/>
      <c r="V38" s="5"/>
    </row>
    <row r="39" spans="1:22" ht="20.100000000000001" customHeight="1" x14ac:dyDescent="0.2">
      <c r="A39" s="21"/>
      <c r="B39" s="5"/>
      <c r="C39" s="5"/>
      <c r="D39" s="9"/>
      <c r="E39" s="9"/>
      <c r="F39" s="9"/>
      <c r="G39" s="9"/>
      <c r="H39" s="9">
        <f t="shared" si="1"/>
        <v>0</v>
      </c>
      <c r="I39" s="9">
        <f t="shared" si="2"/>
        <v>0</v>
      </c>
      <c r="J39" s="9" t="str">
        <f t="shared" si="3"/>
        <v/>
      </c>
      <c r="K39" s="9" t="str">
        <f t="shared" si="7"/>
        <v>-</v>
      </c>
      <c r="L39" s="52" t="str">
        <f>IFERROR(VLOOKUP(K39,MASTER!$C$25:$D$30,2,0),"")</f>
        <v/>
      </c>
      <c r="M39" s="4" t="str">
        <f t="shared" si="4"/>
        <v>0X0</v>
      </c>
      <c r="N39" s="62" t="str">
        <f t="shared" si="8"/>
        <v>0X0</v>
      </c>
      <c r="O39" s="4" t="str">
        <f t="shared" si="0"/>
        <v>0X0</v>
      </c>
      <c r="P39" s="5">
        <f t="shared" si="6"/>
        <v>0</v>
      </c>
      <c r="Q39" s="9"/>
      <c r="R39" s="9"/>
      <c r="S39" s="13"/>
      <c r="T39" s="13"/>
      <c r="U39" s="13"/>
      <c r="V39" s="5"/>
    </row>
    <row r="40" spans="1:22" ht="20.100000000000001" customHeight="1" x14ac:dyDescent="0.2">
      <c r="A40" s="21"/>
      <c r="B40" s="5"/>
      <c r="C40" s="5"/>
      <c r="D40" s="9"/>
      <c r="E40" s="9"/>
      <c r="F40" s="9"/>
      <c r="G40" s="9"/>
      <c r="H40" s="9">
        <f t="shared" si="1"/>
        <v>0</v>
      </c>
      <c r="I40" s="9">
        <f t="shared" si="2"/>
        <v>0</v>
      </c>
      <c r="J40" s="9" t="str">
        <f t="shared" si="3"/>
        <v/>
      </c>
      <c r="K40" s="9" t="str">
        <f t="shared" si="7"/>
        <v>-</v>
      </c>
      <c r="L40" s="52" t="str">
        <f>IFERROR(VLOOKUP(K40,MASTER!$C$25:$D$30,2,0),"")</f>
        <v/>
      </c>
      <c r="M40" s="4" t="str">
        <f t="shared" si="4"/>
        <v>0X0</v>
      </c>
      <c r="N40" s="62" t="str">
        <f t="shared" si="8"/>
        <v>0X0</v>
      </c>
      <c r="O40" s="4" t="str">
        <f t="shared" si="0"/>
        <v>0X0</v>
      </c>
      <c r="P40" s="5">
        <f t="shared" si="6"/>
        <v>0</v>
      </c>
      <c r="Q40" s="9"/>
      <c r="R40" s="9"/>
      <c r="S40" s="13"/>
      <c r="T40" s="13"/>
      <c r="U40" s="13"/>
      <c r="V40" s="5"/>
    </row>
    <row r="41" spans="1:22" ht="20.100000000000001" customHeight="1" x14ac:dyDescent="0.2">
      <c r="A41" s="21"/>
      <c r="B41" s="5"/>
      <c r="C41" s="5"/>
      <c r="D41" s="9"/>
      <c r="E41" s="9"/>
      <c r="F41" s="9"/>
      <c r="G41" s="9"/>
      <c r="H41" s="9">
        <f t="shared" si="1"/>
        <v>0</v>
      </c>
      <c r="I41" s="9">
        <f t="shared" si="2"/>
        <v>0</v>
      </c>
      <c r="J41" s="9" t="str">
        <f t="shared" si="3"/>
        <v/>
      </c>
      <c r="K41" s="9" t="str">
        <f t="shared" si="7"/>
        <v>-</v>
      </c>
      <c r="L41" s="52" t="str">
        <f>IFERROR(VLOOKUP(K41,MASTER!$C$25:$D$30,2,0),"")</f>
        <v/>
      </c>
      <c r="M41" s="4" t="str">
        <f t="shared" si="4"/>
        <v>0X0</v>
      </c>
      <c r="N41" s="62" t="str">
        <f t="shared" si="8"/>
        <v>0X0</v>
      </c>
      <c r="O41" s="4" t="str">
        <f t="shared" si="0"/>
        <v>0X0</v>
      </c>
      <c r="P41" s="5">
        <f t="shared" si="6"/>
        <v>0</v>
      </c>
      <c r="Q41" s="9"/>
      <c r="R41" s="9"/>
      <c r="S41" s="13"/>
      <c r="T41" s="13"/>
      <c r="U41" s="13"/>
      <c r="V41" s="5"/>
    </row>
    <row r="42" spans="1:22" ht="20.100000000000001" customHeight="1" x14ac:dyDescent="0.2">
      <c r="A42" s="21"/>
      <c r="B42" s="5"/>
      <c r="C42" s="5"/>
      <c r="D42" s="9"/>
      <c r="E42" s="9"/>
      <c r="F42" s="9"/>
      <c r="G42" s="9"/>
      <c r="H42" s="9">
        <f t="shared" si="1"/>
        <v>0</v>
      </c>
      <c r="I42" s="9">
        <f t="shared" si="2"/>
        <v>0</v>
      </c>
      <c r="J42" s="9" t="str">
        <f t="shared" si="3"/>
        <v/>
      </c>
      <c r="K42" s="9" t="str">
        <f t="shared" si="7"/>
        <v>-</v>
      </c>
      <c r="L42" s="52" t="str">
        <f>IFERROR(VLOOKUP(K42,MASTER!$C$25:$D$30,2,0),"")</f>
        <v/>
      </c>
      <c r="M42" s="4" t="str">
        <f t="shared" si="4"/>
        <v>0X0</v>
      </c>
      <c r="N42" s="62" t="str">
        <f t="shared" si="8"/>
        <v>0X0</v>
      </c>
      <c r="O42" s="4" t="str">
        <f t="shared" si="0"/>
        <v>0X0</v>
      </c>
      <c r="P42" s="5">
        <f t="shared" si="6"/>
        <v>0</v>
      </c>
      <c r="Q42" s="9"/>
      <c r="R42" s="9"/>
      <c r="S42" s="13"/>
      <c r="T42" s="13"/>
      <c r="U42" s="13"/>
      <c r="V42" s="5"/>
    </row>
    <row r="43" spans="1:22" ht="20.100000000000001" customHeight="1" x14ac:dyDescent="0.2">
      <c r="A43" s="21"/>
      <c r="B43" s="5"/>
      <c r="C43" s="5"/>
      <c r="D43" s="9"/>
      <c r="E43" s="9"/>
      <c r="F43" s="9"/>
      <c r="G43" s="9"/>
      <c r="H43" s="9">
        <f t="shared" si="1"/>
        <v>0</v>
      </c>
      <c r="I43" s="9">
        <f t="shared" si="2"/>
        <v>0</v>
      </c>
      <c r="J43" s="9" t="str">
        <f t="shared" si="3"/>
        <v/>
      </c>
      <c r="K43" s="9" t="str">
        <f t="shared" si="7"/>
        <v>-</v>
      </c>
      <c r="L43" s="52" t="str">
        <f>IFERROR(VLOOKUP(K43,MASTER!$C$25:$D$30,2,0),"")</f>
        <v/>
      </c>
      <c r="M43" s="4" t="str">
        <f t="shared" si="4"/>
        <v>0X0</v>
      </c>
      <c r="N43" s="62" t="str">
        <f t="shared" si="8"/>
        <v>0X0</v>
      </c>
      <c r="O43" s="4" t="str">
        <f t="shared" si="0"/>
        <v>0X0</v>
      </c>
      <c r="P43" s="5">
        <f t="shared" si="6"/>
        <v>0</v>
      </c>
      <c r="Q43" s="9"/>
      <c r="R43" s="9"/>
      <c r="S43" s="13"/>
      <c r="T43" s="13"/>
      <c r="U43" s="13"/>
      <c r="V43" s="5"/>
    </row>
    <row r="44" spans="1:22" ht="20.100000000000001" customHeight="1" x14ac:dyDescent="0.2">
      <c r="A44" s="21"/>
      <c r="B44" s="5"/>
      <c r="C44" s="5"/>
      <c r="D44" s="9"/>
      <c r="E44" s="9"/>
      <c r="F44" s="9"/>
      <c r="G44" s="9"/>
      <c r="H44" s="9">
        <f t="shared" si="1"/>
        <v>0</v>
      </c>
      <c r="I44" s="9">
        <f t="shared" si="2"/>
        <v>0</v>
      </c>
      <c r="J44" s="9" t="str">
        <f t="shared" si="3"/>
        <v/>
      </c>
      <c r="K44" s="9" t="str">
        <f t="shared" si="7"/>
        <v>-</v>
      </c>
      <c r="L44" s="52" t="str">
        <f>IFERROR(VLOOKUP(K44,MASTER!$C$25:$D$30,2,0),"")</f>
        <v/>
      </c>
      <c r="M44" s="4" t="str">
        <f t="shared" si="4"/>
        <v>0X0</v>
      </c>
      <c r="N44" s="62" t="str">
        <f t="shared" si="8"/>
        <v>0X0</v>
      </c>
      <c r="O44" s="4" t="str">
        <f t="shared" si="0"/>
        <v>0X0</v>
      </c>
      <c r="P44" s="5">
        <f t="shared" si="6"/>
        <v>0</v>
      </c>
      <c r="Q44" s="9"/>
      <c r="R44" s="9"/>
      <c r="S44" s="13"/>
      <c r="T44" s="13"/>
      <c r="U44" s="13"/>
      <c r="V44" s="5"/>
    </row>
    <row r="45" spans="1:22" ht="20.100000000000001" customHeight="1" x14ac:dyDescent="0.2">
      <c r="A45" s="21"/>
      <c r="B45" s="5"/>
      <c r="C45" s="5"/>
      <c r="D45" s="9"/>
      <c r="E45" s="9"/>
      <c r="F45" s="9"/>
      <c r="G45" s="9"/>
      <c r="H45" s="9">
        <f t="shared" si="1"/>
        <v>0</v>
      </c>
      <c r="I45" s="9">
        <f t="shared" si="2"/>
        <v>0</v>
      </c>
      <c r="J45" s="9" t="str">
        <f t="shared" si="3"/>
        <v/>
      </c>
      <c r="K45" s="9" t="str">
        <f t="shared" si="7"/>
        <v>-</v>
      </c>
      <c r="L45" s="52" t="str">
        <f>IFERROR(VLOOKUP(K45,MASTER!$C$25:$D$30,2,0),"")</f>
        <v/>
      </c>
      <c r="M45" s="4" t="str">
        <f t="shared" si="4"/>
        <v>0X0</v>
      </c>
      <c r="N45" s="62" t="str">
        <f t="shared" si="8"/>
        <v>0X0</v>
      </c>
      <c r="O45" s="4" t="str">
        <f t="shared" si="0"/>
        <v>0X0</v>
      </c>
      <c r="P45" s="5">
        <f t="shared" si="6"/>
        <v>0</v>
      </c>
      <c r="Q45" s="9"/>
      <c r="R45" s="9"/>
      <c r="S45" s="13"/>
      <c r="T45" s="13"/>
      <c r="U45" s="13"/>
      <c r="V45" s="5"/>
    </row>
    <row r="46" spans="1:22" ht="20.100000000000001" customHeight="1" x14ac:dyDescent="0.2">
      <c r="A46" s="21"/>
      <c r="B46" s="5"/>
      <c r="C46" s="5"/>
      <c r="D46" s="9"/>
      <c r="E46" s="9"/>
      <c r="F46" s="9"/>
      <c r="G46" s="9"/>
      <c r="H46" s="9">
        <f t="shared" si="1"/>
        <v>0</v>
      </c>
      <c r="I46" s="9">
        <f t="shared" si="2"/>
        <v>0</v>
      </c>
      <c r="J46" s="9" t="str">
        <f t="shared" si="3"/>
        <v/>
      </c>
      <c r="K46" s="9" t="str">
        <f t="shared" si="7"/>
        <v>-</v>
      </c>
      <c r="L46" s="52" t="str">
        <f>IFERROR(VLOOKUP(K46,MASTER!$C$25:$D$30,2,0),"")</f>
        <v/>
      </c>
      <c r="M46" s="4" t="str">
        <f t="shared" si="4"/>
        <v>0X0</v>
      </c>
      <c r="N46" s="62" t="str">
        <f t="shared" si="8"/>
        <v>0X0</v>
      </c>
      <c r="O46" s="4" t="str">
        <f t="shared" si="0"/>
        <v>0X0</v>
      </c>
      <c r="P46" s="5">
        <f t="shared" si="6"/>
        <v>0</v>
      </c>
      <c r="Q46" s="9"/>
      <c r="R46" s="9"/>
      <c r="S46" s="13"/>
      <c r="T46" s="13"/>
      <c r="U46" s="13"/>
      <c r="V46" s="5"/>
    </row>
    <row r="47" spans="1:22" ht="20.100000000000001" customHeight="1" x14ac:dyDescent="0.2">
      <c r="A47" s="21"/>
      <c r="B47" s="5"/>
      <c r="C47" s="5"/>
      <c r="D47" s="9"/>
      <c r="E47" s="9"/>
      <c r="F47" s="9"/>
      <c r="G47" s="9"/>
      <c r="H47" s="9">
        <f t="shared" si="1"/>
        <v>0</v>
      </c>
      <c r="I47" s="9">
        <f t="shared" si="2"/>
        <v>0</v>
      </c>
      <c r="J47" s="9" t="str">
        <f t="shared" si="3"/>
        <v/>
      </c>
      <c r="K47" s="9" t="str">
        <f t="shared" si="7"/>
        <v>-</v>
      </c>
      <c r="L47" s="52" t="str">
        <f>IFERROR(VLOOKUP(K47,MASTER!$C$25:$D$30,2,0),"")</f>
        <v/>
      </c>
      <c r="M47" s="4" t="str">
        <f t="shared" si="4"/>
        <v>0X0</v>
      </c>
      <c r="N47" s="62" t="str">
        <f t="shared" si="8"/>
        <v>0X0</v>
      </c>
      <c r="O47" s="4" t="str">
        <f t="shared" si="0"/>
        <v>0X0</v>
      </c>
      <c r="P47" s="5">
        <f t="shared" si="6"/>
        <v>0</v>
      </c>
      <c r="Q47" s="9"/>
      <c r="R47" s="9"/>
      <c r="S47" s="13"/>
      <c r="T47" s="13"/>
      <c r="U47" s="13"/>
      <c r="V47" s="5"/>
    </row>
    <row r="48" spans="1:22" ht="20.100000000000001" customHeight="1" x14ac:dyDescent="0.2">
      <c r="A48" s="21"/>
      <c r="B48" s="5"/>
      <c r="C48" s="5"/>
      <c r="D48" s="9"/>
      <c r="E48" s="9"/>
      <c r="F48" s="9"/>
      <c r="G48" s="9"/>
      <c r="H48" s="9">
        <f t="shared" si="1"/>
        <v>0</v>
      </c>
      <c r="I48" s="9">
        <f t="shared" si="2"/>
        <v>0</v>
      </c>
      <c r="J48" s="9" t="str">
        <f t="shared" si="3"/>
        <v/>
      </c>
      <c r="K48" s="9" t="str">
        <f t="shared" si="7"/>
        <v>-</v>
      </c>
      <c r="L48" s="52" t="str">
        <f>IFERROR(VLOOKUP(K48,MASTER!$C$25:$D$30,2,0),"")</f>
        <v/>
      </c>
      <c r="M48" s="4" t="str">
        <f t="shared" si="4"/>
        <v>0X0</v>
      </c>
      <c r="N48" s="62" t="str">
        <f t="shared" si="8"/>
        <v>0X0</v>
      </c>
      <c r="O48" s="4" t="str">
        <f t="shared" si="0"/>
        <v>0X0</v>
      </c>
      <c r="P48" s="5">
        <f t="shared" si="6"/>
        <v>0</v>
      </c>
      <c r="Q48" s="9"/>
      <c r="R48" s="9"/>
      <c r="S48" s="13"/>
      <c r="T48" s="13"/>
      <c r="U48" s="13"/>
      <c r="V48" s="5"/>
    </row>
    <row r="49" spans="1:22" ht="20.100000000000001" customHeight="1" x14ac:dyDescent="0.2">
      <c r="A49" s="21"/>
      <c r="B49" s="5"/>
      <c r="C49" s="5"/>
      <c r="D49" s="9"/>
      <c r="E49" s="9"/>
      <c r="F49" s="9"/>
      <c r="G49" s="9"/>
      <c r="H49" s="9">
        <f t="shared" si="1"/>
        <v>0</v>
      </c>
      <c r="I49" s="9">
        <f t="shared" si="2"/>
        <v>0</v>
      </c>
      <c r="J49" s="9" t="str">
        <f t="shared" si="3"/>
        <v/>
      </c>
      <c r="K49" s="9" t="str">
        <f t="shared" si="7"/>
        <v>-</v>
      </c>
      <c r="L49" s="52" t="str">
        <f>IFERROR(VLOOKUP(K49,MASTER!$C$25:$D$30,2,0),"")</f>
        <v/>
      </c>
      <c r="M49" s="4" t="str">
        <f t="shared" si="4"/>
        <v>0X0</v>
      </c>
      <c r="N49" s="62" t="str">
        <f t="shared" si="8"/>
        <v>0X0</v>
      </c>
      <c r="O49" s="4" t="str">
        <f t="shared" si="0"/>
        <v>0X0</v>
      </c>
      <c r="P49" s="5">
        <f t="shared" si="6"/>
        <v>0</v>
      </c>
      <c r="Q49" s="9"/>
      <c r="R49" s="9"/>
      <c r="S49" s="13"/>
      <c r="T49" s="13"/>
      <c r="U49" s="13"/>
      <c r="V49" s="5"/>
    </row>
    <row r="50" spans="1:22" ht="20.100000000000001" customHeight="1" x14ac:dyDescent="0.2">
      <c r="A50" s="21"/>
      <c r="B50" s="5"/>
      <c r="C50" s="5"/>
      <c r="D50" s="9"/>
      <c r="E50" s="9"/>
      <c r="F50" s="9"/>
      <c r="G50" s="9"/>
      <c r="H50" s="9">
        <f t="shared" si="1"/>
        <v>0</v>
      </c>
      <c r="I50" s="9">
        <f t="shared" si="2"/>
        <v>0</v>
      </c>
      <c r="J50" s="9" t="str">
        <f t="shared" si="3"/>
        <v/>
      </c>
      <c r="K50" s="9" t="str">
        <f t="shared" si="7"/>
        <v>-</v>
      </c>
      <c r="L50" s="52" t="str">
        <f>IFERROR(VLOOKUP(K50,MASTER!$C$25:$D$30,2,0),"")</f>
        <v/>
      </c>
      <c r="M50" s="4" t="str">
        <f t="shared" si="4"/>
        <v>0X0</v>
      </c>
      <c r="N50" s="62" t="str">
        <f t="shared" si="8"/>
        <v>0X0</v>
      </c>
      <c r="O50" s="4" t="str">
        <f t="shared" si="0"/>
        <v>0X0</v>
      </c>
      <c r="P50" s="5">
        <f t="shared" si="6"/>
        <v>0</v>
      </c>
      <c r="Q50" s="9"/>
      <c r="R50" s="9"/>
      <c r="S50" s="13"/>
      <c r="T50" s="13"/>
      <c r="U50" s="13"/>
      <c r="V50" s="5"/>
    </row>
    <row r="51" spans="1:22" ht="20.100000000000001" customHeight="1" x14ac:dyDescent="0.2">
      <c r="A51" s="21"/>
      <c r="B51" s="5"/>
      <c r="C51" s="5"/>
      <c r="D51" s="9"/>
      <c r="E51" s="9"/>
      <c r="F51" s="9"/>
      <c r="G51" s="9"/>
      <c r="H51" s="9">
        <f t="shared" si="1"/>
        <v>0</v>
      </c>
      <c r="I51" s="9">
        <f t="shared" si="2"/>
        <v>0</v>
      </c>
      <c r="J51" s="9" t="str">
        <f t="shared" si="3"/>
        <v/>
      </c>
      <c r="K51" s="9" t="str">
        <f t="shared" si="7"/>
        <v>-</v>
      </c>
      <c r="L51" s="52" t="str">
        <f>IFERROR(VLOOKUP(K51,MASTER!$C$25:$D$30,2,0),"")</f>
        <v/>
      </c>
      <c r="M51" s="4" t="str">
        <f t="shared" si="4"/>
        <v>0X0</v>
      </c>
      <c r="N51" s="62" t="str">
        <f t="shared" si="8"/>
        <v>0X0</v>
      </c>
      <c r="O51" s="4" t="str">
        <f t="shared" si="0"/>
        <v>0X0</v>
      </c>
      <c r="P51" s="5">
        <f t="shared" si="6"/>
        <v>0</v>
      </c>
      <c r="Q51" s="9"/>
      <c r="R51" s="9"/>
      <c r="S51" s="13"/>
      <c r="T51" s="13"/>
      <c r="U51" s="13"/>
      <c r="V51" s="5"/>
    </row>
    <row r="52" spans="1:22" ht="20.100000000000001" customHeight="1" x14ac:dyDescent="0.2">
      <c r="A52" s="21"/>
      <c r="B52" s="5"/>
      <c r="C52" s="5"/>
      <c r="D52" s="9"/>
      <c r="E52" s="9"/>
      <c r="F52" s="9"/>
      <c r="G52" s="9"/>
      <c r="H52" s="9">
        <f t="shared" si="1"/>
        <v>0</v>
      </c>
      <c r="I52" s="9">
        <f t="shared" si="2"/>
        <v>0</v>
      </c>
      <c r="J52" s="9" t="str">
        <f t="shared" si="3"/>
        <v/>
      </c>
      <c r="K52" s="9" t="str">
        <f t="shared" si="7"/>
        <v>-</v>
      </c>
      <c r="L52" s="52" t="str">
        <f>IFERROR(VLOOKUP(K52,MASTER!$C$25:$D$30,2,0),"")</f>
        <v/>
      </c>
      <c r="M52" s="4" t="str">
        <f t="shared" si="4"/>
        <v>0X0</v>
      </c>
      <c r="N52" s="62" t="str">
        <f t="shared" si="8"/>
        <v>0X0</v>
      </c>
      <c r="O52" s="4" t="str">
        <f t="shared" si="0"/>
        <v>0X0</v>
      </c>
      <c r="P52" s="5">
        <f t="shared" si="6"/>
        <v>0</v>
      </c>
      <c r="Q52" s="9"/>
      <c r="R52" s="9"/>
      <c r="S52" s="13"/>
      <c r="T52" s="13"/>
      <c r="U52" s="13"/>
      <c r="V52" s="5"/>
    </row>
    <row r="53" spans="1:22" ht="20.100000000000001" customHeight="1" x14ac:dyDescent="0.2">
      <c r="A53" s="21"/>
      <c r="B53" s="5"/>
      <c r="C53" s="5"/>
      <c r="D53" s="9"/>
      <c r="E53" s="9"/>
      <c r="F53" s="9"/>
      <c r="G53" s="9"/>
      <c r="H53" s="9">
        <f t="shared" si="1"/>
        <v>0</v>
      </c>
      <c r="I53" s="9">
        <f t="shared" si="2"/>
        <v>0</v>
      </c>
      <c r="J53" s="9" t="str">
        <f t="shared" si="3"/>
        <v/>
      </c>
      <c r="K53" s="9" t="str">
        <f t="shared" si="7"/>
        <v>-</v>
      </c>
      <c r="L53" s="52" t="str">
        <f>IFERROR(VLOOKUP(K53,MASTER!$C$25:$D$30,2,0),"")</f>
        <v/>
      </c>
      <c r="M53" s="4" t="str">
        <f t="shared" si="4"/>
        <v>0X0</v>
      </c>
      <c r="N53" s="62" t="str">
        <f t="shared" si="8"/>
        <v>0X0</v>
      </c>
      <c r="O53" s="4" t="str">
        <f t="shared" si="0"/>
        <v>0X0</v>
      </c>
      <c r="P53" s="5">
        <f t="shared" si="6"/>
        <v>0</v>
      </c>
      <c r="Q53" s="9"/>
      <c r="R53" s="9"/>
      <c r="S53" s="13"/>
      <c r="T53" s="13"/>
      <c r="U53" s="13"/>
      <c r="V53" s="5"/>
    </row>
    <row r="54" spans="1:22" ht="20.100000000000001" customHeight="1" x14ac:dyDescent="0.2">
      <c r="A54" s="21"/>
      <c r="B54" s="5"/>
      <c r="C54" s="5"/>
      <c r="D54" s="9"/>
      <c r="E54" s="9"/>
      <c r="F54" s="9"/>
      <c r="G54" s="9"/>
      <c r="H54" s="9">
        <f t="shared" si="1"/>
        <v>0</v>
      </c>
      <c r="I54" s="9">
        <f t="shared" si="2"/>
        <v>0</v>
      </c>
      <c r="J54" s="9" t="str">
        <f t="shared" si="3"/>
        <v/>
      </c>
      <c r="K54" s="9" t="str">
        <f t="shared" si="7"/>
        <v>-</v>
      </c>
      <c r="L54" s="52" t="str">
        <f>IFERROR(VLOOKUP(K54,MASTER!$C$25:$D$30,2,0),"")</f>
        <v/>
      </c>
      <c r="M54" s="4" t="str">
        <f t="shared" si="4"/>
        <v>0X0</v>
      </c>
      <c r="N54" s="62" t="str">
        <f t="shared" si="8"/>
        <v>0X0</v>
      </c>
      <c r="O54" s="4" t="str">
        <f t="shared" si="0"/>
        <v>0X0</v>
      </c>
      <c r="P54" s="5">
        <f t="shared" si="6"/>
        <v>0</v>
      </c>
      <c r="Q54" s="9"/>
      <c r="R54" s="9"/>
      <c r="S54" s="13"/>
      <c r="T54" s="13"/>
      <c r="U54" s="13"/>
      <c r="V54" s="5"/>
    </row>
    <row r="55" spans="1:22" ht="20.100000000000001" customHeight="1" x14ac:dyDescent="0.2">
      <c r="A55" s="21"/>
      <c r="B55" s="5"/>
      <c r="C55" s="5"/>
      <c r="D55" s="9"/>
      <c r="E55" s="9"/>
      <c r="F55" s="9"/>
      <c r="G55" s="9"/>
      <c r="H55" s="9">
        <f t="shared" si="1"/>
        <v>0</v>
      </c>
      <c r="I55" s="9">
        <f t="shared" si="2"/>
        <v>0</v>
      </c>
      <c r="J55" s="9" t="str">
        <f t="shared" si="3"/>
        <v/>
      </c>
      <c r="K55" s="9" t="str">
        <f t="shared" si="7"/>
        <v>-</v>
      </c>
      <c r="L55" s="52" t="str">
        <f>IFERROR(VLOOKUP(K55,MASTER!$C$25:$D$30,2,0),"")</f>
        <v/>
      </c>
      <c r="M55" s="4" t="str">
        <f t="shared" si="4"/>
        <v>0X0</v>
      </c>
      <c r="N55" s="62" t="str">
        <f t="shared" si="8"/>
        <v>0X0</v>
      </c>
      <c r="O55" s="4" t="str">
        <f t="shared" si="0"/>
        <v>0X0</v>
      </c>
      <c r="P55" s="5">
        <f t="shared" si="6"/>
        <v>0</v>
      </c>
      <c r="Q55" s="9"/>
      <c r="R55" s="9"/>
      <c r="S55" s="13"/>
      <c r="T55" s="13"/>
      <c r="U55" s="13"/>
      <c r="V55" s="5"/>
    </row>
    <row r="56" spans="1:22" ht="20.100000000000001" customHeight="1" x14ac:dyDescent="0.2">
      <c r="A56" s="21"/>
      <c r="B56" s="5"/>
      <c r="C56" s="5"/>
      <c r="D56" s="9"/>
      <c r="E56" s="9"/>
      <c r="F56" s="9"/>
      <c r="G56" s="9"/>
      <c r="H56" s="9">
        <f t="shared" si="1"/>
        <v>0</v>
      </c>
      <c r="I56" s="9">
        <f t="shared" si="2"/>
        <v>0</v>
      </c>
      <c r="J56" s="9" t="str">
        <f t="shared" si="3"/>
        <v/>
      </c>
      <c r="K56" s="9" t="str">
        <f t="shared" si="7"/>
        <v>-</v>
      </c>
      <c r="L56" s="52" t="str">
        <f>IFERROR(VLOOKUP(K56,MASTER!$C$25:$D$30,2,0),"")</f>
        <v/>
      </c>
      <c r="M56" s="4" t="str">
        <f t="shared" si="4"/>
        <v>0X0</v>
      </c>
      <c r="N56" s="62" t="str">
        <f t="shared" si="8"/>
        <v>0X0</v>
      </c>
      <c r="O56" s="4" t="str">
        <f t="shared" si="0"/>
        <v>0X0</v>
      </c>
      <c r="P56" s="5">
        <f t="shared" si="6"/>
        <v>0</v>
      </c>
      <c r="Q56" s="9"/>
      <c r="R56" s="9"/>
      <c r="S56" s="13"/>
      <c r="T56" s="13"/>
      <c r="U56" s="13"/>
      <c r="V56" s="5"/>
    </row>
    <row r="57" spans="1:22" ht="20.100000000000001" customHeight="1" x14ac:dyDescent="0.2">
      <c r="A57" s="21"/>
      <c r="B57" s="5"/>
      <c r="C57" s="5"/>
      <c r="D57" s="9"/>
      <c r="E57" s="9"/>
      <c r="F57" s="9"/>
      <c r="G57" s="9"/>
      <c r="H57" s="9">
        <f t="shared" si="1"/>
        <v>0</v>
      </c>
      <c r="I57" s="9">
        <f t="shared" si="2"/>
        <v>0</v>
      </c>
      <c r="J57" s="9" t="str">
        <f t="shared" si="3"/>
        <v/>
      </c>
      <c r="K57" s="9" t="str">
        <f t="shared" si="7"/>
        <v>-</v>
      </c>
      <c r="L57" s="52" t="str">
        <f>IFERROR(VLOOKUP(K57,MASTER!$C$25:$D$30,2,0),"")</f>
        <v/>
      </c>
      <c r="M57" s="4" t="str">
        <f t="shared" si="4"/>
        <v>0X0</v>
      </c>
      <c r="N57" s="62" t="str">
        <f t="shared" si="8"/>
        <v>0X0</v>
      </c>
      <c r="O57" s="4" t="str">
        <f t="shared" si="0"/>
        <v>0X0</v>
      </c>
      <c r="P57" s="5">
        <f t="shared" si="6"/>
        <v>0</v>
      </c>
      <c r="Q57" s="9"/>
      <c r="R57" s="9"/>
      <c r="S57" s="13"/>
      <c r="T57" s="13"/>
      <c r="U57" s="13"/>
      <c r="V57" s="5"/>
    </row>
    <row r="58" spans="1:22" ht="20.100000000000001" customHeight="1" x14ac:dyDescent="0.2">
      <c r="A58" s="21"/>
      <c r="B58" s="5"/>
      <c r="C58" s="5"/>
      <c r="D58" s="9"/>
      <c r="E58" s="9"/>
      <c r="F58" s="9"/>
      <c r="G58" s="9"/>
      <c r="H58" s="9">
        <f t="shared" si="1"/>
        <v>0</v>
      </c>
      <c r="I58" s="9">
        <f t="shared" si="2"/>
        <v>0</v>
      </c>
      <c r="J58" s="9" t="str">
        <f t="shared" si="3"/>
        <v/>
      </c>
      <c r="K58" s="9" t="str">
        <f t="shared" si="7"/>
        <v>-</v>
      </c>
      <c r="L58" s="52" t="str">
        <f>IFERROR(VLOOKUP(K58,MASTER!$C$25:$D$30,2,0),"")</f>
        <v/>
      </c>
      <c r="M58" s="4" t="str">
        <f t="shared" si="4"/>
        <v>0X0</v>
      </c>
      <c r="N58" s="62" t="str">
        <f t="shared" si="8"/>
        <v>0X0</v>
      </c>
      <c r="O58" s="4" t="str">
        <f t="shared" si="0"/>
        <v>0X0</v>
      </c>
      <c r="P58" s="5">
        <f t="shared" si="6"/>
        <v>0</v>
      </c>
      <c r="Q58" s="9"/>
      <c r="R58" s="9"/>
      <c r="S58" s="13"/>
      <c r="T58" s="13"/>
      <c r="U58" s="13"/>
      <c r="V58" s="5"/>
    </row>
    <row r="59" spans="1:22" ht="20.100000000000001" customHeight="1" x14ac:dyDescent="0.2">
      <c r="A59" s="21"/>
      <c r="B59" s="5"/>
      <c r="C59" s="5"/>
      <c r="D59" s="9"/>
      <c r="E59" s="9"/>
      <c r="F59" s="9"/>
      <c r="G59" s="9"/>
      <c r="H59" s="9">
        <f t="shared" si="1"/>
        <v>0</v>
      </c>
      <c r="I59" s="9">
        <f t="shared" si="2"/>
        <v>0</v>
      </c>
      <c r="J59" s="9" t="str">
        <f t="shared" si="3"/>
        <v/>
      </c>
      <c r="K59" s="9" t="str">
        <f t="shared" si="7"/>
        <v>-</v>
      </c>
      <c r="L59" s="52" t="str">
        <f>IFERROR(VLOOKUP(K59,MASTER!$C$25:$D$30,2,0),"")</f>
        <v/>
      </c>
      <c r="M59" s="4" t="str">
        <f t="shared" si="4"/>
        <v>0X0</v>
      </c>
      <c r="N59" s="62" t="str">
        <f t="shared" si="8"/>
        <v>0X0</v>
      </c>
      <c r="O59" s="4" t="str">
        <f t="shared" si="0"/>
        <v>0X0</v>
      </c>
      <c r="P59" s="5">
        <f t="shared" si="6"/>
        <v>0</v>
      </c>
      <c r="Q59" s="9"/>
      <c r="R59" s="9"/>
      <c r="S59" s="13"/>
      <c r="T59" s="13"/>
      <c r="U59" s="13"/>
      <c r="V59" s="5"/>
    </row>
    <row r="60" spans="1:22" ht="20.100000000000001" customHeight="1" x14ac:dyDescent="0.2">
      <c r="A60" s="21"/>
      <c r="B60" s="5"/>
      <c r="C60" s="5"/>
      <c r="D60" s="9"/>
      <c r="E60" s="9"/>
      <c r="F60" s="9"/>
      <c r="G60" s="9"/>
      <c r="H60" s="9">
        <f t="shared" si="1"/>
        <v>0</v>
      </c>
      <c r="I60" s="9">
        <f t="shared" si="2"/>
        <v>0</v>
      </c>
      <c r="J60" s="9" t="str">
        <f t="shared" si="3"/>
        <v/>
      </c>
      <c r="K60" s="9" t="str">
        <f t="shared" si="7"/>
        <v>-</v>
      </c>
      <c r="L60" s="52" t="str">
        <f>IFERROR(VLOOKUP(K60,MASTER!$C$25:$D$30,2,0),"")</f>
        <v/>
      </c>
      <c r="M60" s="4" t="str">
        <f t="shared" si="4"/>
        <v>0X0</v>
      </c>
      <c r="N60" s="62" t="str">
        <f t="shared" si="8"/>
        <v>0X0</v>
      </c>
      <c r="O60" s="4" t="str">
        <f t="shared" si="0"/>
        <v>0X0</v>
      </c>
      <c r="P60" s="5">
        <f t="shared" si="6"/>
        <v>0</v>
      </c>
      <c r="Q60" s="9"/>
      <c r="R60" s="9"/>
      <c r="S60" s="13"/>
      <c r="T60" s="13"/>
      <c r="U60" s="13"/>
      <c r="V60" s="5"/>
    </row>
    <row r="61" spans="1:22" ht="20.100000000000001" customHeight="1" x14ac:dyDescent="0.2">
      <c r="A61" s="21"/>
      <c r="B61" s="5"/>
      <c r="C61" s="5"/>
      <c r="D61" s="9"/>
      <c r="E61" s="9"/>
      <c r="F61" s="9"/>
      <c r="G61" s="9"/>
      <c r="H61" s="9">
        <f t="shared" si="1"/>
        <v>0</v>
      </c>
      <c r="I61" s="9">
        <f t="shared" si="2"/>
        <v>0</v>
      </c>
      <c r="J61" s="9" t="str">
        <f t="shared" si="3"/>
        <v/>
      </c>
      <c r="K61" s="9" t="str">
        <f t="shared" si="7"/>
        <v>-</v>
      </c>
      <c r="L61" s="52" t="str">
        <f>IFERROR(VLOOKUP(K61,MASTER!$C$25:$D$30,2,0),"")</f>
        <v/>
      </c>
      <c r="M61" s="4" t="str">
        <f t="shared" si="4"/>
        <v>0X0</v>
      </c>
      <c r="N61" s="62" t="str">
        <f t="shared" si="8"/>
        <v>0X0</v>
      </c>
      <c r="O61" s="4" t="str">
        <f t="shared" si="0"/>
        <v>0X0</v>
      </c>
      <c r="P61" s="5">
        <f t="shared" si="6"/>
        <v>0</v>
      </c>
      <c r="Q61" s="9"/>
      <c r="R61" s="9"/>
      <c r="S61" s="13"/>
      <c r="T61" s="13"/>
      <c r="U61" s="13"/>
      <c r="V61" s="5"/>
    </row>
    <row r="62" spans="1:22" ht="20.100000000000001" customHeight="1" x14ac:dyDescent="0.2">
      <c r="A62" s="21"/>
      <c r="B62" s="5"/>
      <c r="C62" s="5"/>
      <c r="D62" s="9"/>
      <c r="E62" s="9"/>
      <c r="F62" s="9"/>
      <c r="G62" s="9"/>
      <c r="H62" s="9">
        <f t="shared" si="1"/>
        <v>0</v>
      </c>
      <c r="I62" s="9">
        <f t="shared" si="2"/>
        <v>0</v>
      </c>
      <c r="J62" s="9" t="str">
        <f t="shared" si="3"/>
        <v/>
      </c>
      <c r="K62" s="9" t="str">
        <f t="shared" si="7"/>
        <v>-</v>
      </c>
      <c r="L62" s="52" t="str">
        <f>IFERROR(VLOOKUP(K62,MASTER!$C$25:$D$30,2,0),"")</f>
        <v/>
      </c>
      <c r="M62" s="4" t="str">
        <f t="shared" si="4"/>
        <v>0X0</v>
      </c>
      <c r="N62" s="62" t="str">
        <f t="shared" si="8"/>
        <v>0X0</v>
      </c>
      <c r="O62" s="4" t="str">
        <f t="shared" si="0"/>
        <v>0X0</v>
      </c>
      <c r="P62" s="5">
        <f t="shared" si="6"/>
        <v>0</v>
      </c>
      <c r="Q62" s="9"/>
      <c r="R62" s="9"/>
      <c r="S62" s="13"/>
      <c r="T62" s="13"/>
      <c r="U62" s="13"/>
      <c r="V62" s="5"/>
    </row>
    <row r="63" spans="1:22" ht="20.100000000000001" customHeight="1" x14ac:dyDescent="0.2">
      <c r="A63" s="21"/>
      <c r="B63" s="5"/>
      <c r="C63" s="5"/>
      <c r="D63" s="9"/>
      <c r="E63" s="9"/>
      <c r="F63" s="9"/>
      <c r="G63" s="9"/>
      <c r="H63" s="9">
        <f t="shared" si="1"/>
        <v>0</v>
      </c>
      <c r="I63" s="9">
        <f t="shared" si="2"/>
        <v>0</v>
      </c>
      <c r="J63" s="9" t="str">
        <f t="shared" si="3"/>
        <v/>
      </c>
      <c r="K63" s="9" t="str">
        <f t="shared" si="7"/>
        <v>-</v>
      </c>
      <c r="L63" s="52" t="str">
        <f>IFERROR(VLOOKUP(K63,MASTER!$C$25:$D$30,2,0),"")</f>
        <v/>
      </c>
      <c r="M63" s="4" t="str">
        <f t="shared" si="4"/>
        <v>0X0</v>
      </c>
      <c r="N63" s="62" t="str">
        <f t="shared" si="8"/>
        <v>0X0</v>
      </c>
      <c r="O63" s="4" t="str">
        <f t="shared" si="0"/>
        <v>0X0</v>
      </c>
      <c r="P63" s="5">
        <f t="shared" si="6"/>
        <v>0</v>
      </c>
      <c r="Q63" s="9"/>
      <c r="R63" s="9"/>
      <c r="S63" s="13"/>
      <c r="T63" s="13"/>
      <c r="U63" s="13"/>
      <c r="V63" s="5"/>
    </row>
    <row r="64" spans="1:22" ht="20.100000000000001" customHeight="1" x14ac:dyDescent="0.2">
      <c r="A64" s="21"/>
      <c r="B64" s="5"/>
      <c r="C64" s="5"/>
      <c r="D64" s="9"/>
      <c r="E64" s="9"/>
      <c r="F64" s="9"/>
      <c r="G64" s="9"/>
      <c r="H64" s="9">
        <f t="shared" si="1"/>
        <v>0</v>
      </c>
      <c r="I64" s="9">
        <f t="shared" si="2"/>
        <v>0</v>
      </c>
      <c r="J64" s="9" t="str">
        <f t="shared" si="3"/>
        <v/>
      </c>
      <c r="K64" s="9" t="str">
        <f t="shared" si="7"/>
        <v>-</v>
      </c>
      <c r="L64" s="52" t="str">
        <f>IFERROR(VLOOKUP(K64,MASTER!$C$25:$D$30,2,0),"")</f>
        <v/>
      </c>
      <c r="M64" s="4" t="str">
        <f t="shared" si="4"/>
        <v>0X0</v>
      </c>
      <c r="N64" s="62" t="str">
        <f t="shared" si="8"/>
        <v>0X0</v>
      </c>
      <c r="O64" s="4" t="str">
        <f t="shared" si="0"/>
        <v>0X0</v>
      </c>
      <c r="P64" s="5">
        <f t="shared" si="6"/>
        <v>0</v>
      </c>
      <c r="Q64" s="9"/>
      <c r="R64" s="9"/>
      <c r="S64" s="13"/>
      <c r="T64" s="13"/>
      <c r="U64" s="13"/>
      <c r="V64" s="5"/>
    </row>
    <row r="65" spans="1:22" ht="20.100000000000001" customHeight="1" x14ac:dyDescent="0.2">
      <c r="A65" s="21"/>
      <c r="B65" s="5"/>
      <c r="C65" s="5"/>
      <c r="D65" s="9"/>
      <c r="E65" s="9"/>
      <c r="F65" s="9"/>
      <c r="G65" s="9"/>
      <c r="H65" s="9">
        <f t="shared" si="1"/>
        <v>0</v>
      </c>
      <c r="I65" s="9">
        <f t="shared" si="2"/>
        <v>0</v>
      </c>
      <c r="J65" s="9" t="str">
        <f t="shared" si="3"/>
        <v/>
      </c>
      <c r="K65" s="9" t="str">
        <f t="shared" si="7"/>
        <v>-</v>
      </c>
      <c r="L65" s="52" t="str">
        <f>IFERROR(VLOOKUP(K65,MASTER!$C$25:$D$30,2,0),"")</f>
        <v/>
      </c>
      <c r="M65" s="4" t="str">
        <f t="shared" si="4"/>
        <v>0X0</v>
      </c>
      <c r="N65" s="62" t="str">
        <f t="shared" si="8"/>
        <v>0X0</v>
      </c>
      <c r="O65" s="4" t="str">
        <f t="shared" si="0"/>
        <v>0X0</v>
      </c>
      <c r="P65" s="5">
        <f t="shared" si="6"/>
        <v>0</v>
      </c>
      <c r="Q65" s="9"/>
      <c r="R65" s="9"/>
      <c r="S65" s="13"/>
      <c r="T65" s="13"/>
      <c r="U65" s="13"/>
      <c r="V65" s="5"/>
    </row>
    <row r="66" spans="1:22" ht="20.100000000000001" customHeight="1" x14ac:dyDescent="0.2">
      <c r="A66" s="21"/>
      <c r="B66" s="5"/>
      <c r="C66" s="5"/>
      <c r="D66" s="9"/>
      <c r="E66" s="9"/>
      <c r="F66" s="9"/>
      <c r="G66" s="9"/>
      <c r="H66" s="9">
        <f t="shared" si="1"/>
        <v>0</v>
      </c>
      <c r="I66" s="9">
        <f t="shared" si="2"/>
        <v>0</v>
      </c>
      <c r="J66" s="9" t="str">
        <f t="shared" si="3"/>
        <v/>
      </c>
      <c r="K66" s="9" t="str">
        <f t="shared" si="7"/>
        <v>-</v>
      </c>
      <c r="L66" s="52" t="str">
        <f>IFERROR(VLOOKUP(K66,MASTER!$C$25:$D$30,2,0),"")</f>
        <v/>
      </c>
      <c r="M66" s="4" t="str">
        <f t="shared" si="4"/>
        <v>0X0</v>
      </c>
      <c r="N66" s="62" t="str">
        <f t="shared" si="8"/>
        <v>0X0</v>
      </c>
      <c r="O66" s="4" t="str">
        <f t="shared" si="0"/>
        <v>0X0</v>
      </c>
      <c r="P66" s="5">
        <f t="shared" si="6"/>
        <v>0</v>
      </c>
      <c r="Q66" s="9"/>
      <c r="R66" s="9"/>
      <c r="S66" s="13"/>
      <c r="T66" s="13"/>
      <c r="U66" s="13"/>
      <c r="V66" s="5"/>
    </row>
    <row r="67" spans="1:22" ht="20.100000000000001" customHeight="1" x14ac:dyDescent="0.2">
      <c r="A67" s="21"/>
      <c r="B67" s="5"/>
      <c r="C67" s="5"/>
      <c r="D67" s="9"/>
      <c r="E67" s="9"/>
      <c r="F67" s="9"/>
      <c r="G67" s="9"/>
      <c r="H67" s="9">
        <f t="shared" si="1"/>
        <v>0</v>
      </c>
      <c r="I67" s="9">
        <f t="shared" si="2"/>
        <v>0</v>
      </c>
      <c r="J67" s="9" t="str">
        <f t="shared" si="3"/>
        <v/>
      </c>
      <c r="K67" s="9" t="str">
        <f t="shared" si="7"/>
        <v>-</v>
      </c>
      <c r="L67" s="52" t="str">
        <f>IFERROR(VLOOKUP(K67,MASTER!$C$25:$D$30,2,0),"")</f>
        <v/>
      </c>
      <c r="M67" s="4" t="str">
        <f t="shared" si="4"/>
        <v>0X0</v>
      </c>
      <c r="N67" s="62" t="str">
        <f t="shared" si="8"/>
        <v>0X0</v>
      </c>
      <c r="O67" s="4" t="str">
        <f t="shared" si="0"/>
        <v>0X0</v>
      </c>
      <c r="P67" s="5">
        <f t="shared" si="6"/>
        <v>0</v>
      </c>
      <c r="Q67" s="9"/>
      <c r="R67" s="9"/>
      <c r="S67" s="13"/>
      <c r="T67" s="13"/>
      <c r="U67" s="13"/>
      <c r="V67" s="5"/>
    </row>
    <row r="68" spans="1:22" ht="20.100000000000001" customHeight="1" x14ac:dyDescent="0.2">
      <c r="A68" s="21"/>
      <c r="B68" s="5"/>
      <c r="C68" s="5"/>
      <c r="D68" s="9"/>
      <c r="E68" s="9"/>
      <c r="F68" s="9"/>
      <c r="G68" s="9"/>
      <c r="H68" s="9">
        <f t="shared" si="1"/>
        <v>0</v>
      </c>
      <c r="I68" s="9">
        <f t="shared" si="2"/>
        <v>0</v>
      </c>
      <c r="J68" s="9" t="str">
        <f t="shared" si="3"/>
        <v/>
      </c>
      <c r="K68" s="9" t="str">
        <f t="shared" si="7"/>
        <v>-</v>
      </c>
      <c r="L68" s="52" t="str">
        <f>IFERROR(VLOOKUP(K68,MASTER!$C$25:$D$30,2,0),"")</f>
        <v/>
      </c>
      <c r="M68" s="4" t="str">
        <f t="shared" si="4"/>
        <v>0X0</v>
      </c>
      <c r="N68" s="62" t="str">
        <f t="shared" si="8"/>
        <v>0X0</v>
      </c>
      <c r="O68" s="4" t="str">
        <f t="shared" si="0"/>
        <v>0X0</v>
      </c>
      <c r="P68" s="5">
        <f t="shared" si="6"/>
        <v>0</v>
      </c>
      <c r="Q68" s="9"/>
      <c r="R68" s="9"/>
      <c r="S68" s="13"/>
      <c r="T68" s="13"/>
      <c r="U68" s="13"/>
      <c r="V68" s="5"/>
    </row>
    <row r="69" spans="1:22" ht="20.100000000000001" customHeight="1" x14ac:dyDescent="0.2">
      <c r="A69" s="21"/>
      <c r="B69" s="5"/>
      <c r="C69" s="5"/>
      <c r="D69" s="9"/>
      <c r="E69" s="9"/>
      <c r="F69" s="9"/>
      <c r="G69" s="9"/>
      <c r="H69" s="9">
        <f t="shared" si="1"/>
        <v>0</v>
      </c>
      <c r="I69" s="9">
        <f t="shared" si="2"/>
        <v>0</v>
      </c>
      <c r="J69" s="9" t="str">
        <f t="shared" si="3"/>
        <v/>
      </c>
      <c r="K69" s="9" t="str">
        <f t="shared" si="7"/>
        <v>-</v>
      </c>
      <c r="L69" s="52" t="str">
        <f>IFERROR(VLOOKUP(K69,MASTER!$C$25:$D$30,2,0),"")</f>
        <v/>
      </c>
      <c r="M69" s="4" t="str">
        <f t="shared" si="4"/>
        <v>0X0</v>
      </c>
      <c r="N69" s="62" t="str">
        <f t="shared" si="8"/>
        <v>0X0</v>
      </c>
      <c r="O69" s="4" t="str">
        <f t="shared" ref="O69:O132" si="9">N69</f>
        <v>0X0</v>
      </c>
      <c r="P69" s="5">
        <f t="shared" si="6"/>
        <v>0</v>
      </c>
      <c r="Q69" s="9"/>
      <c r="R69" s="9"/>
      <c r="S69" s="13"/>
      <c r="T69" s="13"/>
      <c r="U69" s="13"/>
      <c r="V69" s="5"/>
    </row>
    <row r="70" spans="1:22" ht="20.100000000000001" customHeight="1" x14ac:dyDescent="0.2">
      <c r="A70" s="21"/>
      <c r="B70" s="5"/>
      <c r="C70" s="5"/>
      <c r="D70" s="9"/>
      <c r="E70" s="9"/>
      <c r="F70" s="9"/>
      <c r="G70" s="9"/>
      <c r="H70" s="9">
        <f t="shared" ref="H70:H133" si="10">IF(D70="",0,IF(VALUE(D70)&gt;VALUE(E70),IF(OR(VALUE(D70)=13,VALUE(D70)=20,VALUE(D70)=72,VALUE(D70)=75,VALUE(D70)=78,VALUE(D70)=80,VALUE(D70)=84),D70,IF(VALUE(D70)&lt;72,72,IF(VALUE(D70)&lt;75,75,IF(VALUE(D70)&lt;78,78,IF(VALUE(D70)&lt;80,80,IF(VALUE(D70)&lt;84,84,IF(VALUE(D70)&gt;84,84,""""))))))),IF(OR(VALUE(D70)=13,VALUE(D70)=20,VALUE(D70)=30,VALUE(D70)=33,VALUE(D70)=36,VALUE(D70)=39,VALUE(D70)=42,VALUE(D70)=45,VALUE(D70)=48,VALUE(D70)=51,VALUE(D70)=54,VALUE(D70)=57,VALUE(D70)=60,VALUE(D70)=63,VALUE(D70)=66,VALUE(D70)=69,VALUE(D70)=72),D70,IF(VALUE(D70)&lt;30,30,IF(VALUE(D70)&lt;33,33,IF(VALUE(D70)&lt;36,36,IF(VALUE(D70)&lt;39,39,IF(VALUE(D70)&lt;42,42,IF(VALUE(D70)&lt;45,45,IF(VALUE(D70)&lt;48,48,IF(VALUE(D70)&lt;51,51,IF(VALUE(D70)&lt;54,54,IF(VALUE(D70)&lt;57,57,IF(VALUE(D70)&lt;60,60,IF(VALUE(D70)&lt;63,63,IF(VALUE(D70)&lt;66,66,IF(VALUE(D70)&lt;69,69,IF(VALUE(D70)&lt;72,72,IF(VALUE(D70)&gt;72,72,"""")))))))))))))))))))</f>
        <v>0</v>
      </c>
      <c r="I70" s="9">
        <f t="shared" ref="I70:I133" si="11">IF(E70="",0,IF(VALUE(D70)&gt;VALUE(E70),IF(OR(VALUE(E70)=13,VALUE(E70)=18,VALUE(E70)=30,VALUE(E70)=33,VALUE(E70)=36,VALUE(E70)=39,VALUE(E70)=42,VALUE(E70)=45,VALUE(E70)=48,VALUE(E70)=51,VALUE(E70)=54,VALUE(E70)=57,VALUE(E70)=60,VALUE(E70)=63,VALUE(E70)=66,VALUE(E70)=69,VALUE(E70)=72),E70,IF(VALUE(E70)&lt;30,30,IF(VALUE(E70)&lt;33,33,IF(VALUE(E70)&lt;36,36,IF(VALUE(E70)&lt;39,39,IF(VALUE(E70)&lt;42,42,IF(VALUE(E70)&lt;45,45,IF(VALUE(E70)&lt;48,48,IF(VALUE(E70)&lt;51,51,IF(VALUE(E70)&lt;54,54,IF(VALUE(E70)&lt;57,57,IF(VALUE(E70)&lt;60,60,IF(VALUE(E70)&lt;63,63,IF(VALUE(E70)&lt;66,66,IF(VALUE(E70)&lt;69,69,IF(VALUE(E70)&lt;72,72,IF(VALUE(E70)&gt;72,72,""""))))))))))))))))),IF(OR(VALUE(E70)=13,VALUE(E70)=18,VALUE(E70)=72,VALUE(E70)=75,VALUE(E70)=78,VALUE(E70)=80,VALUE(E70)=84),E70,IF(VALUE(E70)&lt;72,72,IF(VALUE(E70)&lt;75,75,IF(VALUE(E70)&lt;78,78,IF(VALUE(E70)&lt;80,80,IF(VALUE(E70)&lt;84,84,IF(VALUE(E70)&gt;84,84,"""")))))))))</f>
        <v>0</v>
      </c>
      <c r="J70" s="9" t="str">
        <f t="shared" ref="J70:J133" si="12">IF(F70&gt;7,F70,"")</f>
        <v/>
      </c>
      <c r="K70" s="9" t="str">
        <f t="shared" si="7"/>
        <v>-</v>
      </c>
      <c r="L70" s="52" t="str">
        <f>IFERROR(VLOOKUP(K70,MASTER!$C$25:$D$30,2,0),"")</f>
        <v/>
      </c>
      <c r="M70" s="4" t="str">
        <f t="shared" ref="M70:M133" si="13">IFERROR(IF(J70=8,(H70&amp;"X"&amp;I70&amp;"X"&amp;"0"&amp;J70),(H70&amp;"X"&amp;I70)),"")</f>
        <v>0X0</v>
      </c>
      <c r="N70" s="62" t="str">
        <f t="shared" si="8"/>
        <v>0X0</v>
      </c>
      <c r="O70" s="4" t="str">
        <f t="shared" si="9"/>
        <v>0X0</v>
      </c>
      <c r="P70" s="5">
        <f t="shared" ref="P70:P133" si="14">+G70</f>
        <v>0</v>
      </c>
      <c r="Q70" s="9"/>
      <c r="R70" s="9"/>
      <c r="S70" s="13"/>
      <c r="T70" s="13"/>
      <c r="U70" s="13"/>
      <c r="V70" s="5"/>
    </row>
    <row r="71" spans="1:22" ht="20.100000000000001" customHeight="1" x14ac:dyDescent="0.2">
      <c r="A71" s="21"/>
      <c r="B71" s="5"/>
      <c r="C71" s="5"/>
      <c r="D71" s="9"/>
      <c r="E71" s="9"/>
      <c r="F71" s="9"/>
      <c r="G71" s="9"/>
      <c r="H71" s="9">
        <f t="shared" si="10"/>
        <v>0</v>
      </c>
      <c r="I71" s="9">
        <f t="shared" si="11"/>
        <v>0</v>
      </c>
      <c r="J71" s="9" t="str">
        <f t="shared" si="12"/>
        <v/>
      </c>
      <c r="K71" s="9" t="str">
        <f t="shared" si="7"/>
        <v>-</v>
      </c>
      <c r="L71" s="52" t="str">
        <f>IFERROR(VLOOKUP(K71,MASTER!$C$25:$D$30,2,0),"")</f>
        <v/>
      </c>
      <c r="M71" s="4" t="str">
        <f t="shared" si="13"/>
        <v>0X0</v>
      </c>
      <c r="N71" s="62" t="str">
        <f t="shared" si="8"/>
        <v>0X0</v>
      </c>
      <c r="O71" s="4" t="str">
        <f t="shared" si="9"/>
        <v>0X0</v>
      </c>
      <c r="P71" s="5">
        <f t="shared" si="14"/>
        <v>0</v>
      </c>
      <c r="Q71" s="9"/>
      <c r="R71" s="9"/>
      <c r="S71" s="13"/>
      <c r="T71" s="13"/>
      <c r="U71" s="13"/>
      <c r="V71" s="5"/>
    </row>
    <row r="72" spans="1:22" ht="20.100000000000001" customHeight="1" x14ac:dyDescent="0.2">
      <c r="A72" s="21"/>
      <c r="B72" s="5"/>
      <c r="C72" s="5"/>
      <c r="D72" s="9"/>
      <c r="E72" s="9"/>
      <c r="F72" s="9"/>
      <c r="G72" s="9"/>
      <c r="H72" s="9">
        <f t="shared" si="10"/>
        <v>0</v>
      </c>
      <c r="I72" s="9">
        <f t="shared" si="11"/>
        <v>0</v>
      </c>
      <c r="J72" s="9" t="str">
        <f t="shared" si="12"/>
        <v/>
      </c>
      <c r="K72" s="9" t="str">
        <f t="shared" si="7"/>
        <v>-</v>
      </c>
      <c r="L72" s="52" t="str">
        <f>IFERROR(VLOOKUP(K72,MASTER!$C$25:$D$30,2,0),"")</f>
        <v/>
      </c>
      <c r="M72" s="4" t="str">
        <f t="shared" si="13"/>
        <v>0X0</v>
      </c>
      <c r="N72" s="62" t="str">
        <f t="shared" si="8"/>
        <v>0X0</v>
      </c>
      <c r="O72" s="4" t="str">
        <f t="shared" si="9"/>
        <v>0X0</v>
      </c>
      <c r="P72" s="5">
        <f t="shared" si="14"/>
        <v>0</v>
      </c>
      <c r="Q72" s="9"/>
      <c r="R72" s="9"/>
      <c r="S72" s="13"/>
      <c r="T72" s="13"/>
      <c r="U72" s="13"/>
      <c r="V72" s="5"/>
    </row>
    <row r="73" spans="1:22" ht="20.100000000000001" customHeight="1" x14ac:dyDescent="0.2">
      <c r="A73" s="21"/>
      <c r="B73" s="5"/>
      <c r="C73" s="5"/>
      <c r="D73" s="9"/>
      <c r="E73" s="9"/>
      <c r="F73" s="9"/>
      <c r="G73" s="9"/>
      <c r="H73" s="9">
        <f t="shared" si="10"/>
        <v>0</v>
      </c>
      <c r="I73" s="9">
        <f t="shared" si="11"/>
        <v>0</v>
      </c>
      <c r="J73" s="9" t="str">
        <f t="shared" si="12"/>
        <v/>
      </c>
      <c r="K73" s="9" t="str">
        <f t="shared" ref="K73:K136" si="15">B73&amp;"-"&amp;C73</f>
        <v>-</v>
      </c>
      <c r="L73" s="52" t="str">
        <f>IFERROR(VLOOKUP(K73,MASTER!$C$25:$D$30,2,0),"")</f>
        <v/>
      </c>
      <c r="M73" s="4" t="str">
        <f t="shared" si="13"/>
        <v>0X0</v>
      </c>
      <c r="N73" s="62" t="str">
        <f t="shared" ref="N73:N136" si="16">IFERROR((L73&amp;M73),"")</f>
        <v>0X0</v>
      </c>
      <c r="O73" s="4" t="str">
        <f t="shared" si="9"/>
        <v>0X0</v>
      </c>
      <c r="P73" s="5">
        <f t="shared" si="14"/>
        <v>0</v>
      </c>
      <c r="Q73" s="9"/>
      <c r="R73" s="9"/>
      <c r="S73" s="13"/>
      <c r="T73" s="13"/>
      <c r="U73" s="13"/>
      <c r="V73" s="5"/>
    </row>
    <row r="74" spans="1:22" ht="20.100000000000001" customHeight="1" x14ac:dyDescent="0.2">
      <c r="A74" s="21"/>
      <c r="B74" s="5"/>
      <c r="C74" s="5"/>
      <c r="D74" s="9"/>
      <c r="E74" s="9"/>
      <c r="F74" s="9"/>
      <c r="G74" s="9"/>
      <c r="H74" s="9">
        <f t="shared" si="10"/>
        <v>0</v>
      </c>
      <c r="I74" s="9">
        <f t="shared" si="11"/>
        <v>0</v>
      </c>
      <c r="J74" s="9" t="str">
        <f t="shared" si="12"/>
        <v/>
      </c>
      <c r="K74" s="9" t="str">
        <f t="shared" si="15"/>
        <v>-</v>
      </c>
      <c r="L74" s="52" t="str">
        <f>IFERROR(VLOOKUP(K74,MASTER!$C$25:$D$30,2,0),"")</f>
        <v/>
      </c>
      <c r="M74" s="4" t="str">
        <f t="shared" si="13"/>
        <v>0X0</v>
      </c>
      <c r="N74" s="62" t="str">
        <f t="shared" si="16"/>
        <v>0X0</v>
      </c>
      <c r="O74" s="4" t="str">
        <f t="shared" si="9"/>
        <v>0X0</v>
      </c>
      <c r="P74" s="5">
        <f t="shared" si="14"/>
        <v>0</v>
      </c>
      <c r="Q74" s="9"/>
      <c r="R74" s="9"/>
      <c r="S74" s="13"/>
      <c r="T74" s="13"/>
      <c r="U74" s="13"/>
      <c r="V74" s="5"/>
    </row>
    <row r="75" spans="1:22" ht="20.100000000000001" customHeight="1" x14ac:dyDescent="0.2">
      <c r="A75" s="21"/>
      <c r="B75" s="5"/>
      <c r="C75" s="5"/>
      <c r="D75" s="9"/>
      <c r="E75" s="9"/>
      <c r="F75" s="9"/>
      <c r="G75" s="9"/>
      <c r="H75" s="9">
        <f t="shared" si="10"/>
        <v>0</v>
      </c>
      <c r="I75" s="9">
        <f t="shared" si="11"/>
        <v>0</v>
      </c>
      <c r="J75" s="9" t="str">
        <f t="shared" si="12"/>
        <v/>
      </c>
      <c r="K75" s="9" t="str">
        <f t="shared" si="15"/>
        <v>-</v>
      </c>
      <c r="L75" s="52" t="str">
        <f>IFERROR(VLOOKUP(K75,MASTER!$C$25:$D$30,2,0),"")</f>
        <v/>
      </c>
      <c r="M75" s="4" t="str">
        <f t="shared" si="13"/>
        <v>0X0</v>
      </c>
      <c r="N75" s="62" t="str">
        <f t="shared" si="16"/>
        <v>0X0</v>
      </c>
      <c r="O75" s="4" t="str">
        <f t="shared" si="9"/>
        <v>0X0</v>
      </c>
      <c r="P75" s="5">
        <f t="shared" si="14"/>
        <v>0</v>
      </c>
      <c r="Q75" s="9"/>
      <c r="R75" s="9"/>
      <c r="S75" s="13"/>
      <c r="T75" s="13"/>
      <c r="U75" s="13"/>
      <c r="V75" s="5"/>
    </row>
    <row r="76" spans="1:22" ht="20.100000000000001" customHeight="1" x14ac:dyDescent="0.2">
      <c r="A76" s="21"/>
      <c r="B76" s="5"/>
      <c r="C76" s="5"/>
      <c r="D76" s="9"/>
      <c r="E76" s="9"/>
      <c r="F76" s="9"/>
      <c r="G76" s="9"/>
      <c r="H76" s="9">
        <f t="shared" si="10"/>
        <v>0</v>
      </c>
      <c r="I76" s="9">
        <f t="shared" si="11"/>
        <v>0</v>
      </c>
      <c r="J76" s="9" t="str">
        <f t="shared" si="12"/>
        <v/>
      </c>
      <c r="K76" s="9" t="str">
        <f t="shared" si="15"/>
        <v>-</v>
      </c>
      <c r="L76" s="52" t="str">
        <f>IFERROR(VLOOKUP(K76,MASTER!$C$25:$D$30,2,0),"")</f>
        <v/>
      </c>
      <c r="M76" s="4" t="str">
        <f t="shared" si="13"/>
        <v>0X0</v>
      </c>
      <c r="N76" s="62" t="str">
        <f t="shared" si="16"/>
        <v>0X0</v>
      </c>
      <c r="O76" s="4" t="str">
        <f t="shared" si="9"/>
        <v>0X0</v>
      </c>
      <c r="P76" s="5">
        <f t="shared" si="14"/>
        <v>0</v>
      </c>
      <c r="Q76" s="9"/>
      <c r="R76" s="9"/>
      <c r="S76" s="13"/>
      <c r="T76" s="13"/>
      <c r="U76" s="13"/>
      <c r="V76" s="5"/>
    </row>
    <row r="77" spans="1:22" ht="20.100000000000001" customHeight="1" x14ac:dyDescent="0.2">
      <c r="A77" s="21"/>
      <c r="B77" s="5"/>
      <c r="C77" s="5"/>
      <c r="D77" s="9"/>
      <c r="E77" s="9"/>
      <c r="F77" s="9"/>
      <c r="G77" s="9"/>
      <c r="H77" s="9">
        <f t="shared" si="10"/>
        <v>0</v>
      </c>
      <c r="I77" s="9">
        <f t="shared" si="11"/>
        <v>0</v>
      </c>
      <c r="J77" s="9" t="str">
        <f t="shared" si="12"/>
        <v/>
      </c>
      <c r="K77" s="9" t="str">
        <f t="shared" si="15"/>
        <v>-</v>
      </c>
      <c r="L77" s="52" t="str">
        <f>IFERROR(VLOOKUP(K77,MASTER!$C$25:$D$30,2,0),"")</f>
        <v/>
      </c>
      <c r="M77" s="4" t="str">
        <f t="shared" si="13"/>
        <v>0X0</v>
      </c>
      <c r="N77" s="62" t="str">
        <f t="shared" si="16"/>
        <v>0X0</v>
      </c>
      <c r="O77" s="4" t="str">
        <f t="shared" si="9"/>
        <v>0X0</v>
      </c>
      <c r="P77" s="5">
        <f t="shared" si="14"/>
        <v>0</v>
      </c>
      <c r="Q77" s="9"/>
      <c r="R77" s="9"/>
      <c r="S77" s="13"/>
      <c r="T77" s="13"/>
      <c r="U77" s="13"/>
      <c r="V77" s="5"/>
    </row>
    <row r="78" spans="1:22" ht="20.100000000000001" customHeight="1" x14ac:dyDescent="0.2">
      <c r="A78" s="21"/>
      <c r="B78" s="5"/>
      <c r="C78" s="5"/>
      <c r="D78" s="9"/>
      <c r="E78" s="9"/>
      <c r="F78" s="9"/>
      <c r="G78" s="9"/>
      <c r="H78" s="9">
        <f t="shared" si="10"/>
        <v>0</v>
      </c>
      <c r="I78" s="9">
        <f t="shared" si="11"/>
        <v>0</v>
      </c>
      <c r="J78" s="9" t="str">
        <f t="shared" si="12"/>
        <v/>
      </c>
      <c r="K78" s="9" t="str">
        <f t="shared" si="15"/>
        <v>-</v>
      </c>
      <c r="L78" s="52" t="str">
        <f>IFERROR(VLOOKUP(K78,MASTER!$C$25:$D$30,2,0),"")</f>
        <v/>
      </c>
      <c r="M78" s="4" t="str">
        <f t="shared" si="13"/>
        <v>0X0</v>
      </c>
      <c r="N78" s="62" t="str">
        <f t="shared" si="16"/>
        <v>0X0</v>
      </c>
      <c r="O78" s="4" t="str">
        <f t="shared" si="9"/>
        <v>0X0</v>
      </c>
      <c r="P78" s="5">
        <f t="shared" si="14"/>
        <v>0</v>
      </c>
      <c r="Q78" s="9"/>
      <c r="R78" s="9"/>
      <c r="S78" s="13"/>
      <c r="T78" s="13"/>
      <c r="U78" s="13"/>
      <c r="V78" s="5"/>
    </row>
    <row r="79" spans="1:22" ht="20.100000000000001" customHeight="1" x14ac:dyDescent="0.2">
      <c r="A79" s="21"/>
      <c r="B79" s="5"/>
      <c r="C79" s="5"/>
      <c r="D79" s="9"/>
      <c r="E79" s="9"/>
      <c r="F79" s="9"/>
      <c r="G79" s="9"/>
      <c r="H79" s="9">
        <f t="shared" si="10"/>
        <v>0</v>
      </c>
      <c r="I79" s="9">
        <f t="shared" si="11"/>
        <v>0</v>
      </c>
      <c r="J79" s="9" t="str">
        <f t="shared" si="12"/>
        <v/>
      </c>
      <c r="K79" s="9" t="str">
        <f t="shared" si="15"/>
        <v>-</v>
      </c>
      <c r="L79" s="52" t="str">
        <f>IFERROR(VLOOKUP(K79,MASTER!$C$25:$D$30,2,0),"")</f>
        <v/>
      </c>
      <c r="M79" s="4" t="str">
        <f t="shared" si="13"/>
        <v>0X0</v>
      </c>
      <c r="N79" s="62" t="str">
        <f t="shared" si="16"/>
        <v>0X0</v>
      </c>
      <c r="O79" s="4" t="str">
        <f t="shared" si="9"/>
        <v>0X0</v>
      </c>
      <c r="P79" s="5">
        <f t="shared" si="14"/>
        <v>0</v>
      </c>
      <c r="Q79" s="9"/>
      <c r="R79" s="9"/>
      <c r="S79" s="13"/>
      <c r="T79" s="13"/>
      <c r="U79" s="13"/>
      <c r="V79" s="5"/>
    </row>
    <row r="80" spans="1:22" ht="20.100000000000001" customHeight="1" x14ac:dyDescent="0.2">
      <c r="A80" s="21"/>
      <c r="B80" s="5"/>
      <c r="C80" s="5"/>
      <c r="D80" s="9"/>
      <c r="E80" s="9"/>
      <c r="F80" s="9"/>
      <c r="G80" s="9"/>
      <c r="H80" s="9">
        <f t="shared" si="10"/>
        <v>0</v>
      </c>
      <c r="I80" s="9">
        <f t="shared" si="11"/>
        <v>0</v>
      </c>
      <c r="J80" s="9" t="str">
        <f t="shared" si="12"/>
        <v/>
      </c>
      <c r="K80" s="9" t="str">
        <f t="shared" si="15"/>
        <v>-</v>
      </c>
      <c r="L80" s="52" t="str">
        <f>IFERROR(VLOOKUP(K80,MASTER!$C$25:$D$30,2,0),"")</f>
        <v/>
      </c>
      <c r="M80" s="4" t="str">
        <f t="shared" si="13"/>
        <v>0X0</v>
      </c>
      <c r="N80" s="62" t="str">
        <f t="shared" si="16"/>
        <v>0X0</v>
      </c>
      <c r="O80" s="4" t="str">
        <f t="shared" si="9"/>
        <v>0X0</v>
      </c>
      <c r="P80" s="5">
        <f t="shared" si="14"/>
        <v>0</v>
      </c>
      <c r="Q80" s="9"/>
      <c r="R80" s="9"/>
      <c r="S80" s="13"/>
      <c r="T80" s="13"/>
      <c r="U80" s="13"/>
      <c r="V80" s="5"/>
    </row>
    <row r="81" spans="1:22" ht="20.100000000000001" customHeight="1" x14ac:dyDescent="0.2">
      <c r="A81" s="21"/>
      <c r="B81" s="5"/>
      <c r="C81" s="5"/>
      <c r="D81" s="9"/>
      <c r="E81" s="9"/>
      <c r="F81" s="9"/>
      <c r="G81" s="9"/>
      <c r="H81" s="9">
        <f t="shared" si="10"/>
        <v>0</v>
      </c>
      <c r="I81" s="9">
        <f t="shared" si="11"/>
        <v>0</v>
      </c>
      <c r="J81" s="9" t="str">
        <f t="shared" si="12"/>
        <v/>
      </c>
      <c r="K81" s="9" t="str">
        <f t="shared" si="15"/>
        <v>-</v>
      </c>
      <c r="L81" s="52" t="str">
        <f>IFERROR(VLOOKUP(K81,MASTER!$C$25:$D$30,2,0),"")</f>
        <v/>
      </c>
      <c r="M81" s="4" t="str">
        <f t="shared" si="13"/>
        <v>0X0</v>
      </c>
      <c r="N81" s="62" t="str">
        <f t="shared" si="16"/>
        <v>0X0</v>
      </c>
      <c r="O81" s="4" t="str">
        <f t="shared" si="9"/>
        <v>0X0</v>
      </c>
      <c r="P81" s="5">
        <f t="shared" si="14"/>
        <v>0</v>
      </c>
      <c r="Q81" s="9"/>
      <c r="R81" s="9"/>
      <c r="S81" s="13"/>
      <c r="T81" s="13"/>
      <c r="U81" s="13"/>
      <c r="V81" s="5"/>
    </row>
    <row r="82" spans="1:22" ht="20.100000000000001" customHeight="1" x14ac:dyDescent="0.2">
      <c r="A82" s="21"/>
      <c r="B82" s="5"/>
      <c r="C82" s="5"/>
      <c r="D82" s="9"/>
      <c r="E82" s="9"/>
      <c r="F82" s="9"/>
      <c r="G82" s="9"/>
      <c r="H82" s="9">
        <f t="shared" si="10"/>
        <v>0</v>
      </c>
      <c r="I82" s="9">
        <f t="shared" si="11"/>
        <v>0</v>
      </c>
      <c r="J82" s="9" t="str">
        <f t="shared" si="12"/>
        <v/>
      </c>
      <c r="K82" s="9" t="str">
        <f t="shared" si="15"/>
        <v>-</v>
      </c>
      <c r="L82" s="52" t="str">
        <f>IFERROR(VLOOKUP(K82,MASTER!$C$25:$D$30,2,0),"")</f>
        <v/>
      </c>
      <c r="M82" s="4" t="str">
        <f t="shared" si="13"/>
        <v>0X0</v>
      </c>
      <c r="N82" s="62" t="str">
        <f t="shared" si="16"/>
        <v>0X0</v>
      </c>
      <c r="O82" s="4" t="str">
        <f t="shared" si="9"/>
        <v>0X0</v>
      </c>
      <c r="P82" s="5">
        <f t="shared" si="14"/>
        <v>0</v>
      </c>
      <c r="Q82" s="9"/>
      <c r="R82" s="9"/>
      <c r="S82" s="13"/>
      <c r="T82" s="13"/>
      <c r="U82" s="13"/>
      <c r="V82" s="5"/>
    </row>
    <row r="83" spans="1:22" ht="20.100000000000001" customHeight="1" x14ac:dyDescent="0.2">
      <c r="A83" s="21"/>
      <c r="B83" s="5"/>
      <c r="C83" s="5"/>
      <c r="D83" s="9"/>
      <c r="E83" s="9"/>
      <c r="F83" s="9"/>
      <c r="G83" s="9"/>
      <c r="H83" s="9">
        <f t="shared" si="10"/>
        <v>0</v>
      </c>
      <c r="I83" s="9">
        <f t="shared" si="11"/>
        <v>0</v>
      </c>
      <c r="J83" s="9" t="str">
        <f t="shared" si="12"/>
        <v/>
      </c>
      <c r="K83" s="9" t="str">
        <f t="shared" si="15"/>
        <v>-</v>
      </c>
      <c r="L83" s="52" t="str">
        <f>IFERROR(VLOOKUP(K83,MASTER!$C$25:$D$30,2,0),"")</f>
        <v/>
      </c>
      <c r="M83" s="4" t="str">
        <f t="shared" si="13"/>
        <v>0X0</v>
      </c>
      <c r="N83" s="62" t="str">
        <f t="shared" si="16"/>
        <v>0X0</v>
      </c>
      <c r="O83" s="4" t="str">
        <f t="shared" si="9"/>
        <v>0X0</v>
      </c>
      <c r="P83" s="5">
        <f t="shared" si="14"/>
        <v>0</v>
      </c>
      <c r="Q83" s="9"/>
      <c r="R83" s="9"/>
      <c r="S83" s="13"/>
      <c r="T83" s="13"/>
      <c r="U83" s="13"/>
      <c r="V83" s="5"/>
    </row>
    <row r="84" spans="1:22" ht="20.100000000000001" customHeight="1" x14ac:dyDescent="0.2">
      <c r="A84" s="21"/>
      <c r="B84" s="5"/>
      <c r="C84" s="5"/>
      <c r="D84" s="9"/>
      <c r="E84" s="9"/>
      <c r="F84" s="9"/>
      <c r="G84" s="9"/>
      <c r="H84" s="9">
        <f t="shared" si="10"/>
        <v>0</v>
      </c>
      <c r="I84" s="9">
        <f t="shared" si="11"/>
        <v>0</v>
      </c>
      <c r="J84" s="9" t="str">
        <f t="shared" si="12"/>
        <v/>
      </c>
      <c r="K84" s="9" t="str">
        <f t="shared" si="15"/>
        <v>-</v>
      </c>
      <c r="L84" s="52" t="str">
        <f>IFERROR(VLOOKUP(K84,MASTER!$C$25:$D$30,2,0),"")</f>
        <v/>
      </c>
      <c r="M84" s="4" t="str">
        <f t="shared" si="13"/>
        <v>0X0</v>
      </c>
      <c r="N84" s="62" t="str">
        <f t="shared" si="16"/>
        <v>0X0</v>
      </c>
      <c r="O84" s="4" t="str">
        <f t="shared" si="9"/>
        <v>0X0</v>
      </c>
      <c r="P84" s="5">
        <f t="shared" si="14"/>
        <v>0</v>
      </c>
      <c r="Q84" s="9"/>
      <c r="R84" s="9"/>
      <c r="S84" s="13"/>
      <c r="T84" s="13"/>
      <c r="U84" s="13"/>
      <c r="V84" s="5"/>
    </row>
    <row r="85" spans="1:22" ht="20.100000000000001" customHeight="1" x14ac:dyDescent="0.2">
      <c r="A85" s="21"/>
      <c r="B85" s="5"/>
      <c r="C85" s="5"/>
      <c r="D85" s="9"/>
      <c r="E85" s="9"/>
      <c r="F85" s="9"/>
      <c r="G85" s="9"/>
      <c r="H85" s="9">
        <f t="shared" si="10"/>
        <v>0</v>
      </c>
      <c r="I85" s="9">
        <f t="shared" si="11"/>
        <v>0</v>
      </c>
      <c r="J85" s="9" t="str">
        <f t="shared" si="12"/>
        <v/>
      </c>
      <c r="K85" s="9" t="str">
        <f t="shared" si="15"/>
        <v>-</v>
      </c>
      <c r="L85" s="52" t="str">
        <f>IFERROR(VLOOKUP(K85,MASTER!$C$25:$D$30,2,0),"")</f>
        <v/>
      </c>
      <c r="M85" s="4" t="str">
        <f t="shared" si="13"/>
        <v>0X0</v>
      </c>
      <c r="N85" s="62" t="str">
        <f t="shared" si="16"/>
        <v>0X0</v>
      </c>
      <c r="O85" s="4" t="str">
        <f t="shared" si="9"/>
        <v>0X0</v>
      </c>
      <c r="P85" s="5">
        <f t="shared" si="14"/>
        <v>0</v>
      </c>
      <c r="Q85" s="9"/>
      <c r="R85" s="9"/>
      <c r="S85" s="13"/>
      <c r="T85" s="13"/>
      <c r="U85" s="13"/>
      <c r="V85" s="5"/>
    </row>
    <row r="86" spans="1:22" ht="20.100000000000001" customHeight="1" x14ac:dyDescent="0.2">
      <c r="A86" s="21"/>
      <c r="B86" s="5"/>
      <c r="C86" s="5"/>
      <c r="D86" s="9"/>
      <c r="E86" s="9"/>
      <c r="F86" s="9"/>
      <c r="G86" s="9"/>
      <c r="H86" s="9">
        <f t="shared" si="10"/>
        <v>0</v>
      </c>
      <c r="I86" s="9">
        <f t="shared" si="11"/>
        <v>0</v>
      </c>
      <c r="J86" s="9" t="str">
        <f t="shared" si="12"/>
        <v/>
      </c>
      <c r="K86" s="9" t="str">
        <f t="shared" si="15"/>
        <v>-</v>
      </c>
      <c r="L86" s="52" t="str">
        <f>IFERROR(VLOOKUP(K86,MASTER!$C$25:$D$30,2,0),"")</f>
        <v/>
      </c>
      <c r="M86" s="4" t="str">
        <f t="shared" si="13"/>
        <v>0X0</v>
      </c>
      <c r="N86" s="62" t="str">
        <f t="shared" si="16"/>
        <v>0X0</v>
      </c>
      <c r="O86" s="4" t="str">
        <f t="shared" si="9"/>
        <v>0X0</v>
      </c>
      <c r="P86" s="5">
        <f t="shared" si="14"/>
        <v>0</v>
      </c>
      <c r="Q86" s="9"/>
      <c r="R86" s="9"/>
      <c r="S86" s="13"/>
      <c r="T86" s="13"/>
      <c r="U86" s="13"/>
      <c r="V86" s="5"/>
    </row>
    <row r="87" spans="1:22" ht="20.100000000000001" customHeight="1" x14ac:dyDescent="0.2">
      <c r="A87" s="21"/>
      <c r="B87" s="5"/>
      <c r="C87" s="5"/>
      <c r="D87" s="9"/>
      <c r="E87" s="9"/>
      <c r="F87" s="9"/>
      <c r="G87" s="9"/>
      <c r="H87" s="9">
        <f t="shared" si="10"/>
        <v>0</v>
      </c>
      <c r="I87" s="9">
        <f t="shared" si="11"/>
        <v>0</v>
      </c>
      <c r="J87" s="9" t="str">
        <f t="shared" si="12"/>
        <v/>
      </c>
      <c r="K87" s="9" t="str">
        <f t="shared" si="15"/>
        <v>-</v>
      </c>
      <c r="L87" s="52" t="str">
        <f>IFERROR(VLOOKUP(K87,MASTER!$C$25:$D$30,2,0),"")</f>
        <v/>
      </c>
      <c r="M87" s="4" t="str">
        <f t="shared" si="13"/>
        <v>0X0</v>
      </c>
      <c r="N87" s="62" t="str">
        <f t="shared" si="16"/>
        <v>0X0</v>
      </c>
      <c r="O87" s="4" t="str">
        <f t="shared" si="9"/>
        <v>0X0</v>
      </c>
      <c r="P87" s="5">
        <f t="shared" si="14"/>
        <v>0</v>
      </c>
      <c r="Q87" s="9"/>
      <c r="R87" s="9"/>
      <c r="S87" s="13"/>
      <c r="T87" s="13"/>
      <c r="U87" s="13"/>
      <c r="V87" s="5"/>
    </row>
    <row r="88" spans="1:22" ht="20.100000000000001" customHeight="1" x14ac:dyDescent="0.2">
      <c r="A88" s="21"/>
      <c r="B88" s="5"/>
      <c r="C88" s="5"/>
      <c r="D88" s="9"/>
      <c r="E88" s="9"/>
      <c r="F88" s="9"/>
      <c r="G88" s="9"/>
      <c r="H88" s="9">
        <f t="shared" si="10"/>
        <v>0</v>
      </c>
      <c r="I88" s="9">
        <f t="shared" si="11"/>
        <v>0</v>
      </c>
      <c r="J88" s="9" t="str">
        <f t="shared" si="12"/>
        <v/>
      </c>
      <c r="K88" s="9" t="str">
        <f t="shared" si="15"/>
        <v>-</v>
      </c>
      <c r="L88" s="52" t="str">
        <f>IFERROR(VLOOKUP(K88,MASTER!$C$25:$D$30,2,0),"")</f>
        <v/>
      </c>
      <c r="M88" s="4" t="str">
        <f t="shared" si="13"/>
        <v>0X0</v>
      </c>
      <c r="N88" s="62" t="str">
        <f t="shared" si="16"/>
        <v>0X0</v>
      </c>
      <c r="O88" s="4" t="str">
        <f t="shared" si="9"/>
        <v>0X0</v>
      </c>
      <c r="P88" s="5">
        <f t="shared" si="14"/>
        <v>0</v>
      </c>
      <c r="Q88" s="9"/>
      <c r="R88" s="9"/>
      <c r="S88" s="13"/>
      <c r="T88" s="13"/>
      <c r="U88" s="13"/>
      <c r="V88" s="5"/>
    </row>
    <row r="89" spans="1:22" ht="20.100000000000001" customHeight="1" x14ac:dyDescent="0.2">
      <c r="A89" s="21"/>
      <c r="B89" s="5"/>
      <c r="C89" s="5"/>
      <c r="D89" s="9"/>
      <c r="E89" s="9"/>
      <c r="F89" s="9"/>
      <c r="G89" s="9"/>
      <c r="H89" s="9">
        <f t="shared" si="10"/>
        <v>0</v>
      </c>
      <c r="I89" s="9">
        <f t="shared" si="11"/>
        <v>0</v>
      </c>
      <c r="J89" s="9" t="str">
        <f t="shared" si="12"/>
        <v/>
      </c>
      <c r="K89" s="9" t="str">
        <f t="shared" si="15"/>
        <v>-</v>
      </c>
      <c r="L89" s="52" t="str">
        <f>IFERROR(VLOOKUP(K89,MASTER!$C$25:$D$30,2,0),"")</f>
        <v/>
      </c>
      <c r="M89" s="4" t="str">
        <f t="shared" si="13"/>
        <v>0X0</v>
      </c>
      <c r="N89" s="62" t="str">
        <f t="shared" si="16"/>
        <v>0X0</v>
      </c>
      <c r="O89" s="4" t="str">
        <f t="shared" si="9"/>
        <v>0X0</v>
      </c>
      <c r="P89" s="5">
        <f t="shared" si="14"/>
        <v>0</v>
      </c>
      <c r="Q89" s="9"/>
      <c r="R89" s="9"/>
      <c r="S89" s="13"/>
      <c r="T89" s="13"/>
      <c r="U89" s="13"/>
      <c r="V89" s="5"/>
    </row>
    <row r="90" spans="1:22" ht="20.100000000000001" customHeight="1" x14ac:dyDescent="0.2">
      <c r="A90" s="21"/>
      <c r="B90" s="5"/>
      <c r="C90" s="5"/>
      <c r="D90" s="9"/>
      <c r="E90" s="9"/>
      <c r="F90" s="9"/>
      <c r="G90" s="9"/>
      <c r="H90" s="9">
        <f t="shared" si="10"/>
        <v>0</v>
      </c>
      <c r="I90" s="9">
        <f t="shared" si="11"/>
        <v>0</v>
      </c>
      <c r="J90" s="9" t="str">
        <f t="shared" si="12"/>
        <v/>
      </c>
      <c r="K90" s="9" t="str">
        <f t="shared" si="15"/>
        <v>-</v>
      </c>
      <c r="L90" s="52" t="str">
        <f>IFERROR(VLOOKUP(K90,MASTER!$C$25:$D$30,2,0),"")</f>
        <v/>
      </c>
      <c r="M90" s="4" t="str">
        <f t="shared" si="13"/>
        <v>0X0</v>
      </c>
      <c r="N90" s="62" t="str">
        <f t="shared" si="16"/>
        <v>0X0</v>
      </c>
      <c r="O90" s="4" t="str">
        <f t="shared" si="9"/>
        <v>0X0</v>
      </c>
      <c r="P90" s="5">
        <f t="shared" si="14"/>
        <v>0</v>
      </c>
      <c r="Q90" s="9"/>
      <c r="R90" s="9"/>
      <c r="S90" s="13"/>
      <c r="T90" s="13"/>
      <c r="U90" s="13"/>
      <c r="V90" s="5"/>
    </row>
    <row r="91" spans="1:22" ht="20.100000000000001" customHeight="1" x14ac:dyDescent="0.2">
      <c r="A91" s="21"/>
      <c r="B91" s="5"/>
      <c r="C91" s="5"/>
      <c r="D91" s="9"/>
      <c r="E91" s="9"/>
      <c r="F91" s="9"/>
      <c r="G91" s="9"/>
      <c r="H91" s="9">
        <f t="shared" si="10"/>
        <v>0</v>
      </c>
      <c r="I91" s="9">
        <f t="shared" si="11"/>
        <v>0</v>
      </c>
      <c r="J91" s="9" t="str">
        <f t="shared" si="12"/>
        <v/>
      </c>
      <c r="K91" s="9" t="str">
        <f t="shared" si="15"/>
        <v>-</v>
      </c>
      <c r="L91" s="52" t="str">
        <f>IFERROR(VLOOKUP(K91,MASTER!$C$25:$D$30,2,0),"")</f>
        <v/>
      </c>
      <c r="M91" s="4" t="str">
        <f t="shared" si="13"/>
        <v>0X0</v>
      </c>
      <c r="N91" s="62" t="str">
        <f t="shared" si="16"/>
        <v>0X0</v>
      </c>
      <c r="O91" s="4" t="str">
        <f t="shared" si="9"/>
        <v>0X0</v>
      </c>
      <c r="P91" s="5">
        <f t="shared" si="14"/>
        <v>0</v>
      </c>
      <c r="Q91" s="9"/>
      <c r="R91" s="9"/>
      <c r="S91" s="13"/>
      <c r="T91" s="13"/>
      <c r="U91" s="13"/>
      <c r="V91" s="5"/>
    </row>
    <row r="92" spans="1:22" ht="20.100000000000001" customHeight="1" x14ac:dyDescent="0.2">
      <c r="A92" s="21"/>
      <c r="B92" s="5"/>
      <c r="C92" s="5"/>
      <c r="D92" s="9"/>
      <c r="E92" s="9"/>
      <c r="F92" s="9"/>
      <c r="G92" s="9"/>
      <c r="H92" s="9">
        <f t="shared" si="10"/>
        <v>0</v>
      </c>
      <c r="I92" s="9">
        <f t="shared" si="11"/>
        <v>0</v>
      </c>
      <c r="J92" s="9" t="str">
        <f t="shared" si="12"/>
        <v/>
      </c>
      <c r="K92" s="9" t="str">
        <f t="shared" si="15"/>
        <v>-</v>
      </c>
      <c r="L92" s="52" t="str">
        <f>IFERROR(VLOOKUP(K92,MASTER!$C$25:$D$30,2,0),"")</f>
        <v/>
      </c>
      <c r="M92" s="4" t="str">
        <f t="shared" si="13"/>
        <v>0X0</v>
      </c>
      <c r="N92" s="62" t="str">
        <f t="shared" si="16"/>
        <v>0X0</v>
      </c>
      <c r="O92" s="4" t="str">
        <f t="shared" si="9"/>
        <v>0X0</v>
      </c>
      <c r="P92" s="5">
        <f t="shared" si="14"/>
        <v>0</v>
      </c>
      <c r="Q92" s="9"/>
      <c r="R92" s="9"/>
      <c r="S92" s="13"/>
      <c r="T92" s="13"/>
      <c r="U92" s="13"/>
      <c r="V92" s="5"/>
    </row>
    <row r="93" spans="1:22" ht="20.100000000000001" customHeight="1" x14ac:dyDescent="0.2">
      <c r="A93" s="21"/>
      <c r="B93" s="5"/>
      <c r="C93" s="5"/>
      <c r="D93" s="9"/>
      <c r="E93" s="9"/>
      <c r="F93" s="9"/>
      <c r="G93" s="9"/>
      <c r="H93" s="9">
        <f t="shared" si="10"/>
        <v>0</v>
      </c>
      <c r="I93" s="9">
        <f t="shared" si="11"/>
        <v>0</v>
      </c>
      <c r="J93" s="9" t="str">
        <f t="shared" si="12"/>
        <v/>
      </c>
      <c r="K93" s="9" t="str">
        <f t="shared" si="15"/>
        <v>-</v>
      </c>
      <c r="L93" s="52" t="str">
        <f>IFERROR(VLOOKUP(K93,MASTER!$C$25:$D$30,2,0),"")</f>
        <v/>
      </c>
      <c r="M93" s="4" t="str">
        <f t="shared" si="13"/>
        <v>0X0</v>
      </c>
      <c r="N93" s="62" t="str">
        <f t="shared" si="16"/>
        <v>0X0</v>
      </c>
      <c r="O93" s="4" t="str">
        <f t="shared" si="9"/>
        <v>0X0</v>
      </c>
      <c r="P93" s="5">
        <f t="shared" si="14"/>
        <v>0</v>
      </c>
      <c r="Q93" s="9"/>
      <c r="R93" s="9"/>
      <c r="S93" s="13"/>
      <c r="T93" s="13"/>
      <c r="U93" s="13"/>
      <c r="V93" s="5"/>
    </row>
    <row r="94" spans="1:22" ht="20.100000000000001" customHeight="1" x14ac:dyDescent="0.2">
      <c r="A94" s="21"/>
      <c r="B94" s="5"/>
      <c r="C94" s="5"/>
      <c r="D94" s="9"/>
      <c r="E94" s="9"/>
      <c r="F94" s="9"/>
      <c r="G94" s="9"/>
      <c r="H94" s="9">
        <f t="shared" si="10"/>
        <v>0</v>
      </c>
      <c r="I94" s="9">
        <f t="shared" si="11"/>
        <v>0</v>
      </c>
      <c r="J94" s="9" t="str">
        <f t="shared" si="12"/>
        <v/>
      </c>
      <c r="K94" s="9" t="str">
        <f t="shared" si="15"/>
        <v>-</v>
      </c>
      <c r="L94" s="52" t="str">
        <f>IFERROR(VLOOKUP(K94,MASTER!$C$25:$D$30,2,0),"")</f>
        <v/>
      </c>
      <c r="M94" s="4" t="str">
        <f t="shared" si="13"/>
        <v>0X0</v>
      </c>
      <c r="N94" s="62" t="str">
        <f t="shared" si="16"/>
        <v>0X0</v>
      </c>
      <c r="O94" s="4" t="str">
        <f t="shared" si="9"/>
        <v>0X0</v>
      </c>
      <c r="P94" s="5">
        <f t="shared" si="14"/>
        <v>0</v>
      </c>
      <c r="Q94" s="9"/>
      <c r="R94" s="9"/>
      <c r="S94" s="13"/>
      <c r="T94" s="13"/>
      <c r="U94" s="13"/>
      <c r="V94" s="5"/>
    </row>
    <row r="95" spans="1:22" ht="20.100000000000001" customHeight="1" x14ac:dyDescent="0.2">
      <c r="A95" s="21"/>
      <c r="B95" s="5"/>
      <c r="C95" s="5"/>
      <c r="D95" s="9"/>
      <c r="E95" s="9"/>
      <c r="F95" s="9"/>
      <c r="G95" s="9"/>
      <c r="H95" s="9">
        <f t="shared" si="10"/>
        <v>0</v>
      </c>
      <c r="I95" s="9">
        <f t="shared" si="11"/>
        <v>0</v>
      </c>
      <c r="J95" s="9" t="str">
        <f t="shared" si="12"/>
        <v/>
      </c>
      <c r="K95" s="9" t="str">
        <f t="shared" si="15"/>
        <v>-</v>
      </c>
      <c r="L95" s="52" t="str">
        <f>IFERROR(VLOOKUP(K95,MASTER!$C$25:$D$30,2,0),"")</f>
        <v/>
      </c>
      <c r="M95" s="4" t="str">
        <f t="shared" si="13"/>
        <v>0X0</v>
      </c>
      <c r="N95" s="62" t="str">
        <f t="shared" si="16"/>
        <v>0X0</v>
      </c>
      <c r="O95" s="4" t="str">
        <f t="shared" si="9"/>
        <v>0X0</v>
      </c>
      <c r="P95" s="5">
        <f t="shared" si="14"/>
        <v>0</v>
      </c>
      <c r="Q95" s="9"/>
      <c r="R95" s="9"/>
      <c r="S95" s="13"/>
      <c r="T95" s="13"/>
      <c r="U95" s="13"/>
      <c r="V95" s="5"/>
    </row>
    <row r="96" spans="1:22" ht="20.100000000000001" customHeight="1" x14ac:dyDescent="0.2">
      <c r="A96" s="21"/>
      <c r="B96" s="5"/>
      <c r="C96" s="5"/>
      <c r="D96" s="9"/>
      <c r="E96" s="9"/>
      <c r="F96" s="9"/>
      <c r="G96" s="9"/>
      <c r="H96" s="9">
        <f t="shared" si="10"/>
        <v>0</v>
      </c>
      <c r="I96" s="9">
        <f t="shared" si="11"/>
        <v>0</v>
      </c>
      <c r="J96" s="9" t="str">
        <f t="shared" si="12"/>
        <v/>
      </c>
      <c r="K96" s="9" t="str">
        <f t="shared" si="15"/>
        <v>-</v>
      </c>
      <c r="L96" s="52" t="str">
        <f>IFERROR(VLOOKUP(K96,MASTER!$C$25:$D$30,2,0),"")</f>
        <v/>
      </c>
      <c r="M96" s="4" t="str">
        <f t="shared" si="13"/>
        <v>0X0</v>
      </c>
      <c r="N96" s="62" t="str">
        <f t="shared" si="16"/>
        <v>0X0</v>
      </c>
      <c r="O96" s="4" t="str">
        <f t="shared" si="9"/>
        <v>0X0</v>
      </c>
      <c r="P96" s="5">
        <f t="shared" si="14"/>
        <v>0</v>
      </c>
      <c r="Q96" s="9"/>
      <c r="R96" s="9"/>
      <c r="S96" s="13"/>
      <c r="T96" s="13"/>
      <c r="U96" s="13"/>
      <c r="V96" s="5"/>
    </row>
    <row r="97" spans="1:22" ht="20.100000000000001" customHeight="1" x14ac:dyDescent="0.2">
      <c r="A97" s="21"/>
      <c r="B97" s="5"/>
      <c r="C97" s="5"/>
      <c r="D97" s="9"/>
      <c r="E97" s="9"/>
      <c r="F97" s="9"/>
      <c r="G97" s="9"/>
      <c r="H97" s="9">
        <f t="shared" si="10"/>
        <v>0</v>
      </c>
      <c r="I97" s="9">
        <f t="shared" si="11"/>
        <v>0</v>
      </c>
      <c r="J97" s="9" t="str">
        <f t="shared" si="12"/>
        <v/>
      </c>
      <c r="K97" s="9" t="str">
        <f t="shared" si="15"/>
        <v>-</v>
      </c>
      <c r="L97" s="52" t="str">
        <f>IFERROR(VLOOKUP(K97,MASTER!$C$25:$D$30,2,0),"")</f>
        <v/>
      </c>
      <c r="M97" s="4" t="str">
        <f t="shared" si="13"/>
        <v>0X0</v>
      </c>
      <c r="N97" s="62" t="str">
        <f t="shared" si="16"/>
        <v>0X0</v>
      </c>
      <c r="O97" s="4" t="str">
        <f t="shared" si="9"/>
        <v>0X0</v>
      </c>
      <c r="P97" s="5">
        <f t="shared" si="14"/>
        <v>0</v>
      </c>
      <c r="Q97" s="9"/>
      <c r="R97" s="9"/>
      <c r="S97" s="13"/>
      <c r="T97" s="13"/>
      <c r="U97" s="13"/>
      <c r="V97" s="5"/>
    </row>
    <row r="98" spans="1:22" ht="20.100000000000001" customHeight="1" x14ac:dyDescent="0.2">
      <c r="A98" s="21"/>
      <c r="B98" s="5"/>
      <c r="C98" s="5"/>
      <c r="D98" s="9"/>
      <c r="E98" s="9"/>
      <c r="F98" s="9"/>
      <c r="G98" s="9"/>
      <c r="H98" s="9">
        <f t="shared" si="10"/>
        <v>0</v>
      </c>
      <c r="I98" s="9">
        <f t="shared" si="11"/>
        <v>0</v>
      </c>
      <c r="J98" s="9" t="str">
        <f t="shared" si="12"/>
        <v/>
      </c>
      <c r="K98" s="9" t="str">
        <f t="shared" si="15"/>
        <v>-</v>
      </c>
      <c r="L98" s="52" t="str">
        <f>IFERROR(VLOOKUP(K98,MASTER!$C$25:$D$30,2,0),"")</f>
        <v/>
      </c>
      <c r="M98" s="4" t="str">
        <f t="shared" si="13"/>
        <v>0X0</v>
      </c>
      <c r="N98" s="62" t="str">
        <f t="shared" si="16"/>
        <v>0X0</v>
      </c>
      <c r="O98" s="4" t="str">
        <f t="shared" si="9"/>
        <v>0X0</v>
      </c>
      <c r="P98" s="5">
        <f t="shared" si="14"/>
        <v>0</v>
      </c>
      <c r="Q98" s="9"/>
      <c r="R98" s="9"/>
      <c r="S98" s="13"/>
      <c r="T98" s="13"/>
      <c r="U98" s="13"/>
      <c r="V98" s="5"/>
    </row>
    <row r="99" spans="1:22" ht="20.100000000000001" customHeight="1" x14ac:dyDescent="0.2">
      <c r="A99" s="21"/>
      <c r="B99" s="5"/>
      <c r="C99" s="5"/>
      <c r="D99" s="9"/>
      <c r="E99" s="9"/>
      <c r="F99" s="9"/>
      <c r="G99" s="9"/>
      <c r="H99" s="9">
        <f t="shared" si="10"/>
        <v>0</v>
      </c>
      <c r="I99" s="9">
        <f t="shared" si="11"/>
        <v>0</v>
      </c>
      <c r="J99" s="9" t="str">
        <f t="shared" si="12"/>
        <v/>
      </c>
      <c r="K99" s="9" t="str">
        <f t="shared" si="15"/>
        <v>-</v>
      </c>
      <c r="L99" s="52" t="str">
        <f>IFERROR(VLOOKUP(K99,MASTER!$C$25:$D$30,2,0),"")</f>
        <v/>
      </c>
      <c r="M99" s="4" t="str">
        <f t="shared" si="13"/>
        <v>0X0</v>
      </c>
      <c r="N99" s="62" t="str">
        <f t="shared" si="16"/>
        <v>0X0</v>
      </c>
      <c r="O99" s="4" t="str">
        <f t="shared" si="9"/>
        <v>0X0</v>
      </c>
      <c r="P99" s="5">
        <f t="shared" si="14"/>
        <v>0</v>
      </c>
      <c r="Q99" s="9"/>
      <c r="R99" s="9"/>
      <c r="S99" s="13"/>
      <c r="T99" s="13"/>
      <c r="U99" s="13"/>
      <c r="V99" s="5"/>
    </row>
    <row r="100" spans="1:22" ht="20.100000000000001" customHeight="1" x14ac:dyDescent="0.2">
      <c r="A100" s="21"/>
      <c r="B100" s="5"/>
      <c r="C100" s="5"/>
      <c r="D100" s="9"/>
      <c r="E100" s="9"/>
      <c r="F100" s="9"/>
      <c r="G100" s="9"/>
      <c r="H100" s="9">
        <f t="shared" si="10"/>
        <v>0</v>
      </c>
      <c r="I100" s="9">
        <f t="shared" si="11"/>
        <v>0</v>
      </c>
      <c r="J100" s="9" t="str">
        <f t="shared" si="12"/>
        <v/>
      </c>
      <c r="K100" s="9" t="str">
        <f t="shared" si="15"/>
        <v>-</v>
      </c>
      <c r="L100" s="52" t="str">
        <f>IFERROR(VLOOKUP(K100,MASTER!$C$25:$D$30,2,0),"")</f>
        <v/>
      </c>
      <c r="M100" s="4" t="str">
        <f t="shared" si="13"/>
        <v>0X0</v>
      </c>
      <c r="N100" s="62" t="str">
        <f t="shared" si="16"/>
        <v>0X0</v>
      </c>
      <c r="O100" s="4" t="str">
        <f t="shared" si="9"/>
        <v>0X0</v>
      </c>
      <c r="P100" s="5">
        <f t="shared" si="14"/>
        <v>0</v>
      </c>
      <c r="Q100" s="9"/>
      <c r="R100" s="9"/>
      <c r="S100" s="13"/>
      <c r="T100" s="13"/>
      <c r="U100" s="13"/>
      <c r="V100" s="5"/>
    </row>
    <row r="101" spans="1:22" ht="20.100000000000001" customHeight="1" x14ac:dyDescent="0.2">
      <c r="A101" s="21"/>
      <c r="B101" s="5"/>
      <c r="C101" s="5"/>
      <c r="D101" s="9"/>
      <c r="E101" s="9"/>
      <c r="F101" s="9"/>
      <c r="G101" s="9"/>
      <c r="H101" s="9">
        <f t="shared" si="10"/>
        <v>0</v>
      </c>
      <c r="I101" s="9">
        <f t="shared" si="11"/>
        <v>0</v>
      </c>
      <c r="J101" s="9" t="str">
        <f t="shared" si="12"/>
        <v/>
      </c>
      <c r="K101" s="9" t="str">
        <f t="shared" si="15"/>
        <v>-</v>
      </c>
      <c r="L101" s="52" t="str">
        <f>IFERROR(VLOOKUP(K101,MASTER!$C$25:$D$30,2,0),"")</f>
        <v/>
      </c>
      <c r="M101" s="4" t="str">
        <f t="shared" si="13"/>
        <v>0X0</v>
      </c>
      <c r="N101" s="62" t="str">
        <f t="shared" si="16"/>
        <v>0X0</v>
      </c>
      <c r="O101" s="4" t="str">
        <f t="shared" si="9"/>
        <v>0X0</v>
      </c>
      <c r="P101" s="5">
        <f t="shared" si="14"/>
        <v>0</v>
      </c>
      <c r="Q101" s="9"/>
      <c r="R101" s="9"/>
      <c r="S101" s="13"/>
      <c r="T101" s="13"/>
      <c r="U101" s="13"/>
      <c r="V101" s="5"/>
    </row>
    <row r="102" spans="1:22" ht="20.100000000000001" customHeight="1" x14ac:dyDescent="0.2">
      <c r="A102" s="21"/>
      <c r="B102" s="5"/>
      <c r="C102" s="5"/>
      <c r="D102" s="9"/>
      <c r="E102" s="9"/>
      <c r="F102" s="9"/>
      <c r="G102" s="9"/>
      <c r="H102" s="9">
        <f t="shared" si="10"/>
        <v>0</v>
      </c>
      <c r="I102" s="9">
        <f t="shared" si="11"/>
        <v>0</v>
      </c>
      <c r="J102" s="9" t="str">
        <f t="shared" si="12"/>
        <v/>
      </c>
      <c r="K102" s="9" t="str">
        <f t="shared" si="15"/>
        <v>-</v>
      </c>
      <c r="L102" s="52" t="str">
        <f>IFERROR(VLOOKUP(K102,MASTER!$C$25:$D$30,2,0),"")</f>
        <v/>
      </c>
      <c r="M102" s="4" t="str">
        <f t="shared" si="13"/>
        <v>0X0</v>
      </c>
      <c r="N102" s="62" t="str">
        <f t="shared" si="16"/>
        <v>0X0</v>
      </c>
      <c r="O102" s="4" t="str">
        <f t="shared" si="9"/>
        <v>0X0</v>
      </c>
      <c r="P102" s="5">
        <f t="shared" si="14"/>
        <v>0</v>
      </c>
      <c r="Q102" s="9"/>
      <c r="R102" s="9"/>
      <c r="S102" s="13"/>
      <c r="T102" s="13"/>
      <c r="U102" s="13"/>
      <c r="V102" s="5"/>
    </row>
    <row r="103" spans="1:22" ht="20.100000000000001" customHeight="1" x14ac:dyDescent="0.2">
      <c r="A103" s="21"/>
      <c r="B103" s="5"/>
      <c r="C103" s="5"/>
      <c r="D103" s="9"/>
      <c r="E103" s="9"/>
      <c r="F103" s="9"/>
      <c r="G103" s="9"/>
      <c r="H103" s="9">
        <f t="shared" si="10"/>
        <v>0</v>
      </c>
      <c r="I103" s="9">
        <f t="shared" si="11"/>
        <v>0</v>
      </c>
      <c r="J103" s="9" t="str">
        <f t="shared" si="12"/>
        <v/>
      </c>
      <c r="K103" s="9" t="str">
        <f t="shared" si="15"/>
        <v>-</v>
      </c>
      <c r="L103" s="52" t="str">
        <f>IFERROR(VLOOKUP(K103,MASTER!$C$25:$D$30,2,0),"")</f>
        <v/>
      </c>
      <c r="M103" s="4" t="str">
        <f t="shared" si="13"/>
        <v>0X0</v>
      </c>
      <c r="N103" s="62" t="str">
        <f t="shared" si="16"/>
        <v>0X0</v>
      </c>
      <c r="O103" s="4" t="str">
        <f t="shared" si="9"/>
        <v>0X0</v>
      </c>
      <c r="P103" s="5">
        <f t="shared" si="14"/>
        <v>0</v>
      </c>
      <c r="Q103" s="9"/>
      <c r="R103" s="9"/>
      <c r="S103" s="13"/>
      <c r="T103" s="13"/>
      <c r="U103" s="13"/>
      <c r="V103" s="5"/>
    </row>
    <row r="104" spans="1:22" ht="20.100000000000001" customHeight="1" x14ac:dyDescent="0.2">
      <c r="A104" s="21"/>
      <c r="B104" s="5"/>
      <c r="C104" s="5"/>
      <c r="D104" s="9"/>
      <c r="E104" s="9"/>
      <c r="F104" s="9"/>
      <c r="G104" s="9"/>
      <c r="H104" s="9">
        <f t="shared" si="10"/>
        <v>0</v>
      </c>
      <c r="I104" s="9">
        <f t="shared" si="11"/>
        <v>0</v>
      </c>
      <c r="J104" s="9" t="str">
        <f t="shared" si="12"/>
        <v/>
      </c>
      <c r="K104" s="9" t="str">
        <f t="shared" si="15"/>
        <v>-</v>
      </c>
      <c r="L104" s="52" t="str">
        <f>IFERROR(VLOOKUP(K104,MASTER!$C$25:$D$30,2,0),"")</f>
        <v/>
      </c>
      <c r="M104" s="4" t="str">
        <f t="shared" si="13"/>
        <v>0X0</v>
      </c>
      <c r="N104" s="62" t="str">
        <f t="shared" si="16"/>
        <v>0X0</v>
      </c>
      <c r="O104" s="4" t="str">
        <f t="shared" si="9"/>
        <v>0X0</v>
      </c>
      <c r="P104" s="5">
        <f t="shared" si="14"/>
        <v>0</v>
      </c>
      <c r="Q104" s="9"/>
      <c r="R104" s="9"/>
      <c r="S104" s="13"/>
      <c r="T104" s="13"/>
      <c r="U104" s="13"/>
      <c r="V104" s="5"/>
    </row>
    <row r="105" spans="1:22" ht="20.100000000000001" customHeight="1" x14ac:dyDescent="0.2">
      <c r="A105" s="21"/>
      <c r="B105" s="5"/>
      <c r="C105" s="5"/>
      <c r="D105" s="9"/>
      <c r="E105" s="9"/>
      <c r="F105" s="9"/>
      <c r="G105" s="9"/>
      <c r="H105" s="9">
        <f t="shared" si="10"/>
        <v>0</v>
      </c>
      <c r="I105" s="9">
        <f t="shared" si="11"/>
        <v>0</v>
      </c>
      <c r="J105" s="9" t="str">
        <f t="shared" si="12"/>
        <v/>
      </c>
      <c r="K105" s="9" t="str">
        <f t="shared" si="15"/>
        <v>-</v>
      </c>
      <c r="L105" s="52" t="str">
        <f>IFERROR(VLOOKUP(K105,MASTER!$C$25:$D$30,2,0),"")</f>
        <v/>
      </c>
      <c r="M105" s="4" t="str">
        <f t="shared" si="13"/>
        <v>0X0</v>
      </c>
      <c r="N105" s="62" t="str">
        <f t="shared" si="16"/>
        <v>0X0</v>
      </c>
      <c r="O105" s="4" t="str">
        <f t="shared" si="9"/>
        <v>0X0</v>
      </c>
      <c r="P105" s="5">
        <f t="shared" si="14"/>
        <v>0</v>
      </c>
      <c r="Q105" s="9"/>
      <c r="R105" s="9"/>
      <c r="S105" s="13"/>
      <c r="T105" s="13"/>
      <c r="U105" s="13"/>
      <c r="V105" s="5"/>
    </row>
    <row r="106" spans="1:22" ht="20.100000000000001" customHeight="1" x14ac:dyDescent="0.2">
      <c r="A106" s="21"/>
      <c r="B106" s="5"/>
      <c r="C106" s="5"/>
      <c r="D106" s="9"/>
      <c r="E106" s="9"/>
      <c r="F106" s="9"/>
      <c r="G106" s="9"/>
      <c r="H106" s="9">
        <f t="shared" si="10"/>
        <v>0</v>
      </c>
      <c r="I106" s="9">
        <f t="shared" si="11"/>
        <v>0</v>
      </c>
      <c r="J106" s="9" t="str">
        <f t="shared" si="12"/>
        <v/>
      </c>
      <c r="K106" s="9" t="str">
        <f t="shared" si="15"/>
        <v>-</v>
      </c>
      <c r="L106" s="52" t="str">
        <f>IFERROR(VLOOKUP(K106,MASTER!$C$25:$D$30,2,0),"")</f>
        <v/>
      </c>
      <c r="M106" s="4" t="str">
        <f t="shared" si="13"/>
        <v>0X0</v>
      </c>
      <c r="N106" s="62" t="str">
        <f t="shared" si="16"/>
        <v>0X0</v>
      </c>
      <c r="O106" s="4" t="str">
        <f t="shared" si="9"/>
        <v>0X0</v>
      </c>
      <c r="P106" s="5">
        <f t="shared" si="14"/>
        <v>0</v>
      </c>
      <c r="Q106" s="9"/>
      <c r="R106" s="9"/>
      <c r="S106" s="13"/>
      <c r="T106" s="13"/>
      <c r="U106" s="13"/>
      <c r="V106" s="5"/>
    </row>
    <row r="107" spans="1:22" ht="20.100000000000001" customHeight="1" x14ac:dyDescent="0.2">
      <c r="A107" s="21"/>
      <c r="B107" s="5"/>
      <c r="C107" s="5"/>
      <c r="D107" s="9"/>
      <c r="E107" s="9"/>
      <c r="F107" s="9"/>
      <c r="G107" s="9"/>
      <c r="H107" s="9">
        <f t="shared" si="10"/>
        <v>0</v>
      </c>
      <c r="I107" s="9">
        <f t="shared" si="11"/>
        <v>0</v>
      </c>
      <c r="J107" s="9" t="str">
        <f t="shared" si="12"/>
        <v/>
      </c>
      <c r="K107" s="9" t="str">
        <f t="shared" si="15"/>
        <v>-</v>
      </c>
      <c r="L107" s="52" t="str">
        <f>IFERROR(VLOOKUP(K107,MASTER!$C$25:$D$30,2,0),"")</f>
        <v/>
      </c>
      <c r="M107" s="4" t="str">
        <f t="shared" si="13"/>
        <v>0X0</v>
      </c>
      <c r="N107" s="62" t="str">
        <f t="shared" si="16"/>
        <v>0X0</v>
      </c>
      <c r="O107" s="4" t="str">
        <f t="shared" si="9"/>
        <v>0X0</v>
      </c>
      <c r="P107" s="5">
        <f t="shared" si="14"/>
        <v>0</v>
      </c>
      <c r="Q107" s="9"/>
      <c r="R107" s="9"/>
      <c r="S107" s="13"/>
      <c r="T107" s="13"/>
      <c r="U107" s="13"/>
      <c r="V107" s="5"/>
    </row>
    <row r="108" spans="1:22" ht="20.100000000000001" customHeight="1" x14ac:dyDescent="0.2">
      <c r="A108" s="21"/>
      <c r="B108" s="5"/>
      <c r="C108" s="5"/>
      <c r="D108" s="9"/>
      <c r="E108" s="9"/>
      <c r="F108" s="9"/>
      <c r="G108" s="9"/>
      <c r="H108" s="9">
        <f t="shared" si="10"/>
        <v>0</v>
      </c>
      <c r="I108" s="9">
        <f t="shared" si="11"/>
        <v>0</v>
      </c>
      <c r="J108" s="9" t="str">
        <f t="shared" si="12"/>
        <v/>
      </c>
      <c r="K108" s="9" t="str">
        <f t="shared" si="15"/>
        <v>-</v>
      </c>
      <c r="L108" s="52" t="str">
        <f>IFERROR(VLOOKUP(K108,MASTER!$C$25:$D$30,2,0),"")</f>
        <v/>
      </c>
      <c r="M108" s="4" t="str">
        <f t="shared" si="13"/>
        <v>0X0</v>
      </c>
      <c r="N108" s="62" t="str">
        <f t="shared" si="16"/>
        <v>0X0</v>
      </c>
      <c r="O108" s="4" t="str">
        <f t="shared" si="9"/>
        <v>0X0</v>
      </c>
      <c r="P108" s="5">
        <f t="shared" si="14"/>
        <v>0</v>
      </c>
      <c r="Q108" s="9"/>
      <c r="R108" s="9"/>
      <c r="S108" s="13"/>
      <c r="T108" s="13"/>
      <c r="U108" s="13"/>
      <c r="V108" s="5"/>
    </row>
    <row r="109" spans="1:22" ht="20.100000000000001" customHeight="1" x14ac:dyDescent="0.2">
      <c r="A109" s="21"/>
      <c r="B109" s="5"/>
      <c r="C109" s="5"/>
      <c r="D109" s="9"/>
      <c r="E109" s="9"/>
      <c r="F109" s="9"/>
      <c r="G109" s="9"/>
      <c r="H109" s="9">
        <f t="shared" si="10"/>
        <v>0</v>
      </c>
      <c r="I109" s="9">
        <f t="shared" si="11"/>
        <v>0</v>
      </c>
      <c r="J109" s="9" t="str">
        <f t="shared" si="12"/>
        <v/>
      </c>
      <c r="K109" s="9" t="str">
        <f t="shared" si="15"/>
        <v>-</v>
      </c>
      <c r="L109" s="52" t="str">
        <f>IFERROR(VLOOKUP(K109,MASTER!$C$25:$D$30,2,0),"")</f>
        <v/>
      </c>
      <c r="M109" s="4" t="str">
        <f t="shared" si="13"/>
        <v>0X0</v>
      </c>
      <c r="N109" s="62" t="str">
        <f t="shared" si="16"/>
        <v>0X0</v>
      </c>
      <c r="O109" s="4" t="str">
        <f t="shared" si="9"/>
        <v>0X0</v>
      </c>
      <c r="P109" s="5">
        <f t="shared" si="14"/>
        <v>0</v>
      </c>
      <c r="Q109" s="9"/>
      <c r="R109" s="9"/>
      <c r="S109" s="13"/>
      <c r="T109" s="13"/>
      <c r="U109" s="13"/>
      <c r="V109" s="5"/>
    </row>
    <row r="110" spans="1:22" ht="20.100000000000001" customHeight="1" x14ac:dyDescent="0.2">
      <c r="A110" s="21"/>
      <c r="B110" s="5"/>
      <c r="C110" s="5"/>
      <c r="D110" s="9"/>
      <c r="E110" s="9"/>
      <c r="F110" s="9"/>
      <c r="G110" s="9"/>
      <c r="H110" s="9">
        <f t="shared" si="10"/>
        <v>0</v>
      </c>
      <c r="I110" s="9">
        <f t="shared" si="11"/>
        <v>0</v>
      </c>
      <c r="J110" s="9" t="str">
        <f t="shared" si="12"/>
        <v/>
      </c>
      <c r="K110" s="9" t="str">
        <f t="shared" si="15"/>
        <v>-</v>
      </c>
      <c r="L110" s="52" t="str">
        <f>IFERROR(VLOOKUP(K110,MASTER!$C$25:$D$30,2,0),"")</f>
        <v/>
      </c>
      <c r="M110" s="4" t="str">
        <f t="shared" si="13"/>
        <v>0X0</v>
      </c>
      <c r="N110" s="62" t="str">
        <f t="shared" si="16"/>
        <v>0X0</v>
      </c>
      <c r="O110" s="4" t="str">
        <f t="shared" si="9"/>
        <v>0X0</v>
      </c>
      <c r="P110" s="5">
        <f t="shared" si="14"/>
        <v>0</v>
      </c>
      <c r="Q110" s="9"/>
      <c r="R110" s="9"/>
      <c r="S110" s="13"/>
      <c r="T110" s="13"/>
      <c r="U110" s="13"/>
      <c r="V110" s="5"/>
    </row>
    <row r="111" spans="1:22" ht="20.100000000000001" customHeight="1" x14ac:dyDescent="0.2">
      <c r="A111" s="21"/>
      <c r="B111" s="5"/>
      <c r="C111" s="5"/>
      <c r="D111" s="9"/>
      <c r="E111" s="9"/>
      <c r="F111" s="9"/>
      <c r="G111" s="9"/>
      <c r="H111" s="9">
        <f t="shared" si="10"/>
        <v>0</v>
      </c>
      <c r="I111" s="9">
        <f t="shared" si="11"/>
        <v>0</v>
      </c>
      <c r="J111" s="9" t="str">
        <f t="shared" si="12"/>
        <v/>
      </c>
      <c r="K111" s="9" t="str">
        <f t="shared" si="15"/>
        <v>-</v>
      </c>
      <c r="L111" s="52" t="str">
        <f>IFERROR(VLOOKUP(K111,MASTER!$C$25:$D$30,2,0),"")</f>
        <v/>
      </c>
      <c r="M111" s="4" t="str">
        <f t="shared" si="13"/>
        <v>0X0</v>
      </c>
      <c r="N111" s="62" t="str">
        <f t="shared" si="16"/>
        <v>0X0</v>
      </c>
      <c r="O111" s="4" t="str">
        <f t="shared" si="9"/>
        <v>0X0</v>
      </c>
      <c r="P111" s="5">
        <f t="shared" si="14"/>
        <v>0</v>
      </c>
      <c r="Q111" s="9"/>
      <c r="R111" s="9"/>
      <c r="S111" s="13"/>
      <c r="T111" s="13"/>
      <c r="U111" s="13"/>
      <c r="V111" s="5"/>
    </row>
    <row r="112" spans="1:22" ht="20.100000000000001" customHeight="1" x14ac:dyDescent="0.2">
      <c r="A112" s="21"/>
      <c r="B112" s="5"/>
      <c r="C112" s="5"/>
      <c r="D112" s="9"/>
      <c r="E112" s="9"/>
      <c r="F112" s="9"/>
      <c r="G112" s="9"/>
      <c r="H112" s="9">
        <f t="shared" si="10"/>
        <v>0</v>
      </c>
      <c r="I112" s="9">
        <f t="shared" si="11"/>
        <v>0</v>
      </c>
      <c r="J112" s="9" t="str">
        <f t="shared" si="12"/>
        <v/>
      </c>
      <c r="K112" s="9" t="str">
        <f t="shared" si="15"/>
        <v>-</v>
      </c>
      <c r="L112" s="52" t="str">
        <f>IFERROR(VLOOKUP(K112,MASTER!$C$25:$D$30,2,0),"")</f>
        <v/>
      </c>
      <c r="M112" s="4" t="str">
        <f t="shared" si="13"/>
        <v>0X0</v>
      </c>
      <c r="N112" s="62" t="str">
        <f t="shared" si="16"/>
        <v>0X0</v>
      </c>
      <c r="O112" s="4" t="str">
        <f t="shared" si="9"/>
        <v>0X0</v>
      </c>
      <c r="P112" s="5">
        <f t="shared" si="14"/>
        <v>0</v>
      </c>
      <c r="Q112" s="9"/>
      <c r="R112" s="9"/>
      <c r="S112" s="13"/>
      <c r="T112" s="13"/>
      <c r="U112" s="13"/>
      <c r="V112" s="5"/>
    </row>
    <row r="113" spans="1:22" ht="20.100000000000001" customHeight="1" x14ac:dyDescent="0.2">
      <c r="A113" s="21"/>
      <c r="B113" s="5"/>
      <c r="C113" s="5"/>
      <c r="D113" s="9"/>
      <c r="E113" s="9"/>
      <c r="F113" s="9"/>
      <c r="G113" s="9"/>
      <c r="H113" s="9">
        <f t="shared" si="10"/>
        <v>0</v>
      </c>
      <c r="I113" s="9">
        <f t="shared" si="11"/>
        <v>0</v>
      </c>
      <c r="J113" s="9" t="str">
        <f t="shared" si="12"/>
        <v/>
      </c>
      <c r="K113" s="9" t="str">
        <f t="shared" si="15"/>
        <v>-</v>
      </c>
      <c r="L113" s="52" t="str">
        <f>IFERROR(VLOOKUP(K113,MASTER!$C$25:$D$30,2,0),"")</f>
        <v/>
      </c>
      <c r="M113" s="4" t="str">
        <f t="shared" si="13"/>
        <v>0X0</v>
      </c>
      <c r="N113" s="62" t="str">
        <f t="shared" si="16"/>
        <v>0X0</v>
      </c>
      <c r="O113" s="4" t="str">
        <f t="shared" si="9"/>
        <v>0X0</v>
      </c>
      <c r="P113" s="5">
        <f t="shared" si="14"/>
        <v>0</v>
      </c>
      <c r="Q113" s="9"/>
      <c r="R113" s="9"/>
      <c r="S113" s="13"/>
      <c r="T113" s="13"/>
      <c r="U113" s="13"/>
      <c r="V113" s="5"/>
    </row>
    <row r="114" spans="1:22" ht="20.100000000000001" customHeight="1" x14ac:dyDescent="0.2">
      <c r="A114" s="21"/>
      <c r="B114" s="5"/>
      <c r="C114" s="5"/>
      <c r="D114" s="9"/>
      <c r="E114" s="9"/>
      <c r="F114" s="9"/>
      <c r="G114" s="9"/>
      <c r="H114" s="9">
        <f t="shared" si="10"/>
        <v>0</v>
      </c>
      <c r="I114" s="9">
        <f t="shared" si="11"/>
        <v>0</v>
      </c>
      <c r="J114" s="9" t="str">
        <f t="shared" si="12"/>
        <v/>
      </c>
      <c r="K114" s="9" t="str">
        <f t="shared" si="15"/>
        <v>-</v>
      </c>
      <c r="L114" s="52" t="str">
        <f>IFERROR(VLOOKUP(K114,MASTER!$C$25:$D$30,2,0),"")</f>
        <v/>
      </c>
      <c r="M114" s="4" t="str">
        <f t="shared" si="13"/>
        <v>0X0</v>
      </c>
      <c r="N114" s="62" t="str">
        <f t="shared" si="16"/>
        <v>0X0</v>
      </c>
      <c r="O114" s="4" t="str">
        <f t="shared" si="9"/>
        <v>0X0</v>
      </c>
      <c r="P114" s="5">
        <f t="shared" si="14"/>
        <v>0</v>
      </c>
      <c r="Q114" s="9"/>
      <c r="R114" s="9"/>
      <c r="S114" s="13"/>
      <c r="T114" s="13"/>
      <c r="U114" s="13"/>
      <c r="V114" s="5"/>
    </row>
    <row r="115" spans="1:22" ht="20.100000000000001" customHeight="1" x14ac:dyDescent="0.2">
      <c r="A115" s="21"/>
      <c r="B115" s="5"/>
      <c r="C115" s="5"/>
      <c r="D115" s="9"/>
      <c r="E115" s="9"/>
      <c r="F115" s="9"/>
      <c r="G115" s="9"/>
      <c r="H115" s="9">
        <f t="shared" si="10"/>
        <v>0</v>
      </c>
      <c r="I115" s="9">
        <f t="shared" si="11"/>
        <v>0</v>
      </c>
      <c r="J115" s="9" t="str">
        <f t="shared" si="12"/>
        <v/>
      </c>
      <c r="K115" s="9" t="str">
        <f t="shared" si="15"/>
        <v>-</v>
      </c>
      <c r="L115" s="52" t="str">
        <f>IFERROR(VLOOKUP(K115,MASTER!$C$25:$D$30,2,0),"")</f>
        <v/>
      </c>
      <c r="M115" s="4" t="str">
        <f t="shared" si="13"/>
        <v>0X0</v>
      </c>
      <c r="N115" s="62" t="str">
        <f t="shared" si="16"/>
        <v>0X0</v>
      </c>
      <c r="O115" s="4" t="str">
        <f t="shared" si="9"/>
        <v>0X0</v>
      </c>
      <c r="P115" s="5">
        <f t="shared" si="14"/>
        <v>0</v>
      </c>
      <c r="Q115" s="9"/>
      <c r="R115" s="9"/>
      <c r="S115" s="13"/>
      <c r="T115" s="13"/>
      <c r="U115" s="13"/>
      <c r="V115" s="5"/>
    </row>
    <row r="116" spans="1:22" ht="20.100000000000001" customHeight="1" x14ac:dyDescent="0.2">
      <c r="A116" s="21"/>
      <c r="B116" s="5"/>
      <c r="C116" s="5"/>
      <c r="D116" s="9"/>
      <c r="E116" s="9"/>
      <c r="F116" s="9"/>
      <c r="G116" s="9"/>
      <c r="H116" s="9">
        <f t="shared" si="10"/>
        <v>0</v>
      </c>
      <c r="I116" s="9">
        <f t="shared" si="11"/>
        <v>0</v>
      </c>
      <c r="J116" s="9" t="str">
        <f t="shared" si="12"/>
        <v/>
      </c>
      <c r="K116" s="9" t="str">
        <f t="shared" si="15"/>
        <v>-</v>
      </c>
      <c r="L116" s="52" t="str">
        <f>IFERROR(VLOOKUP(K116,MASTER!$C$25:$D$30,2,0),"")</f>
        <v/>
      </c>
      <c r="M116" s="4" t="str">
        <f t="shared" si="13"/>
        <v>0X0</v>
      </c>
      <c r="N116" s="62" t="str">
        <f t="shared" si="16"/>
        <v>0X0</v>
      </c>
      <c r="O116" s="4" t="str">
        <f t="shared" si="9"/>
        <v>0X0</v>
      </c>
      <c r="P116" s="5">
        <f t="shared" si="14"/>
        <v>0</v>
      </c>
      <c r="Q116" s="9"/>
      <c r="R116" s="9"/>
      <c r="S116" s="13"/>
      <c r="T116" s="13"/>
      <c r="U116" s="13"/>
      <c r="V116" s="5"/>
    </row>
    <row r="117" spans="1:22" ht="20.100000000000001" customHeight="1" x14ac:dyDescent="0.2">
      <c r="A117" s="21"/>
      <c r="B117" s="5"/>
      <c r="C117" s="5"/>
      <c r="D117" s="9"/>
      <c r="E117" s="9"/>
      <c r="F117" s="9"/>
      <c r="G117" s="9"/>
      <c r="H117" s="9">
        <f t="shared" si="10"/>
        <v>0</v>
      </c>
      <c r="I117" s="9">
        <f t="shared" si="11"/>
        <v>0</v>
      </c>
      <c r="J117" s="9" t="str">
        <f t="shared" si="12"/>
        <v/>
      </c>
      <c r="K117" s="9" t="str">
        <f t="shared" si="15"/>
        <v>-</v>
      </c>
      <c r="L117" s="52" t="str">
        <f>IFERROR(VLOOKUP(K117,MASTER!$C$25:$D$30,2,0),"")</f>
        <v/>
      </c>
      <c r="M117" s="4" t="str">
        <f t="shared" si="13"/>
        <v>0X0</v>
      </c>
      <c r="N117" s="62" t="str">
        <f t="shared" si="16"/>
        <v>0X0</v>
      </c>
      <c r="O117" s="4" t="str">
        <f t="shared" si="9"/>
        <v>0X0</v>
      </c>
      <c r="P117" s="5">
        <f t="shared" si="14"/>
        <v>0</v>
      </c>
      <c r="Q117" s="9"/>
      <c r="R117" s="9"/>
      <c r="S117" s="13"/>
      <c r="T117" s="13"/>
      <c r="U117" s="13"/>
      <c r="V117" s="5"/>
    </row>
    <row r="118" spans="1:22" ht="20.100000000000001" customHeight="1" x14ac:dyDescent="0.2">
      <c r="A118" s="21"/>
      <c r="B118" s="5"/>
      <c r="C118" s="5"/>
      <c r="D118" s="9"/>
      <c r="E118" s="9"/>
      <c r="F118" s="9"/>
      <c r="G118" s="9"/>
      <c r="H118" s="9">
        <f t="shared" si="10"/>
        <v>0</v>
      </c>
      <c r="I118" s="9">
        <f t="shared" si="11"/>
        <v>0</v>
      </c>
      <c r="J118" s="9" t="str">
        <f t="shared" si="12"/>
        <v/>
      </c>
      <c r="K118" s="9" t="str">
        <f t="shared" si="15"/>
        <v>-</v>
      </c>
      <c r="L118" s="52" t="str">
        <f>IFERROR(VLOOKUP(K118,MASTER!$C$25:$D$30,2,0),"")</f>
        <v/>
      </c>
      <c r="M118" s="4" t="str">
        <f t="shared" si="13"/>
        <v>0X0</v>
      </c>
      <c r="N118" s="62" t="str">
        <f t="shared" si="16"/>
        <v>0X0</v>
      </c>
      <c r="O118" s="4" t="str">
        <f t="shared" si="9"/>
        <v>0X0</v>
      </c>
      <c r="P118" s="5">
        <f t="shared" si="14"/>
        <v>0</v>
      </c>
      <c r="Q118" s="9"/>
      <c r="R118" s="9"/>
      <c r="S118" s="13"/>
      <c r="T118" s="13"/>
      <c r="U118" s="13"/>
      <c r="V118" s="5"/>
    </row>
    <row r="119" spans="1:22" ht="20.100000000000001" customHeight="1" x14ac:dyDescent="0.2">
      <c r="A119" s="21"/>
      <c r="B119" s="5"/>
      <c r="C119" s="5"/>
      <c r="D119" s="9"/>
      <c r="E119" s="9"/>
      <c r="F119" s="9"/>
      <c r="G119" s="9"/>
      <c r="H119" s="9">
        <f t="shared" si="10"/>
        <v>0</v>
      </c>
      <c r="I119" s="9">
        <f t="shared" si="11"/>
        <v>0</v>
      </c>
      <c r="J119" s="9" t="str">
        <f t="shared" si="12"/>
        <v/>
      </c>
      <c r="K119" s="9" t="str">
        <f t="shared" si="15"/>
        <v>-</v>
      </c>
      <c r="L119" s="52" t="str">
        <f>IFERROR(VLOOKUP(K119,MASTER!$C$25:$D$30,2,0),"")</f>
        <v/>
      </c>
      <c r="M119" s="4" t="str">
        <f t="shared" si="13"/>
        <v>0X0</v>
      </c>
      <c r="N119" s="62" t="str">
        <f t="shared" si="16"/>
        <v>0X0</v>
      </c>
      <c r="O119" s="4" t="str">
        <f t="shared" si="9"/>
        <v>0X0</v>
      </c>
      <c r="P119" s="5">
        <f t="shared" si="14"/>
        <v>0</v>
      </c>
      <c r="Q119" s="9"/>
      <c r="R119" s="9"/>
      <c r="S119" s="13"/>
      <c r="T119" s="13"/>
      <c r="U119" s="13"/>
      <c r="V119" s="5"/>
    </row>
    <row r="120" spans="1:22" ht="20.100000000000001" customHeight="1" x14ac:dyDescent="0.2">
      <c r="A120" s="21"/>
      <c r="B120" s="5"/>
      <c r="C120" s="5"/>
      <c r="D120" s="9"/>
      <c r="E120" s="9"/>
      <c r="F120" s="9"/>
      <c r="G120" s="9"/>
      <c r="H120" s="9">
        <f t="shared" si="10"/>
        <v>0</v>
      </c>
      <c r="I120" s="9">
        <f t="shared" si="11"/>
        <v>0</v>
      </c>
      <c r="J120" s="9" t="str">
        <f t="shared" si="12"/>
        <v/>
      </c>
      <c r="K120" s="9" t="str">
        <f t="shared" si="15"/>
        <v>-</v>
      </c>
      <c r="L120" s="52" t="str">
        <f>IFERROR(VLOOKUP(K120,MASTER!$C$25:$D$30,2,0),"")</f>
        <v/>
      </c>
      <c r="M120" s="4" t="str">
        <f t="shared" si="13"/>
        <v>0X0</v>
      </c>
      <c r="N120" s="62" t="str">
        <f t="shared" si="16"/>
        <v>0X0</v>
      </c>
      <c r="O120" s="4" t="str">
        <f t="shared" si="9"/>
        <v>0X0</v>
      </c>
      <c r="P120" s="5">
        <f t="shared" si="14"/>
        <v>0</v>
      </c>
      <c r="Q120" s="9"/>
      <c r="R120" s="9"/>
      <c r="S120" s="13"/>
      <c r="T120" s="13"/>
      <c r="U120" s="13"/>
      <c r="V120" s="5"/>
    </row>
    <row r="121" spans="1:22" ht="20.100000000000001" customHeight="1" x14ac:dyDescent="0.2">
      <c r="A121" s="21"/>
      <c r="B121" s="5"/>
      <c r="C121" s="5"/>
      <c r="D121" s="9"/>
      <c r="E121" s="9"/>
      <c r="F121" s="9"/>
      <c r="G121" s="9"/>
      <c r="H121" s="9">
        <f t="shared" si="10"/>
        <v>0</v>
      </c>
      <c r="I121" s="9">
        <f t="shared" si="11"/>
        <v>0</v>
      </c>
      <c r="J121" s="9" t="str">
        <f t="shared" si="12"/>
        <v/>
      </c>
      <c r="K121" s="9" t="str">
        <f t="shared" si="15"/>
        <v>-</v>
      </c>
      <c r="L121" s="52" t="str">
        <f>IFERROR(VLOOKUP(K121,MASTER!$C$25:$D$30,2,0),"")</f>
        <v/>
      </c>
      <c r="M121" s="4" t="str">
        <f t="shared" si="13"/>
        <v>0X0</v>
      </c>
      <c r="N121" s="62" t="str">
        <f t="shared" si="16"/>
        <v>0X0</v>
      </c>
      <c r="O121" s="4" t="str">
        <f t="shared" si="9"/>
        <v>0X0</v>
      </c>
      <c r="P121" s="5">
        <f t="shared" si="14"/>
        <v>0</v>
      </c>
      <c r="Q121" s="9"/>
      <c r="R121" s="9"/>
      <c r="S121" s="13"/>
      <c r="T121" s="13"/>
      <c r="U121" s="13"/>
      <c r="V121" s="5"/>
    </row>
    <row r="122" spans="1:22" ht="20.100000000000001" customHeight="1" x14ac:dyDescent="0.2">
      <c r="A122" s="21"/>
      <c r="B122" s="5"/>
      <c r="C122" s="5"/>
      <c r="D122" s="9"/>
      <c r="E122" s="9"/>
      <c r="F122" s="9"/>
      <c r="G122" s="9"/>
      <c r="H122" s="9">
        <f t="shared" si="10"/>
        <v>0</v>
      </c>
      <c r="I122" s="9">
        <f t="shared" si="11"/>
        <v>0</v>
      </c>
      <c r="J122" s="9" t="str">
        <f t="shared" si="12"/>
        <v/>
      </c>
      <c r="K122" s="9" t="str">
        <f t="shared" si="15"/>
        <v>-</v>
      </c>
      <c r="L122" s="52" t="str">
        <f>IFERROR(VLOOKUP(K122,MASTER!$C$25:$D$30,2,0),"")</f>
        <v/>
      </c>
      <c r="M122" s="4" t="str">
        <f t="shared" si="13"/>
        <v>0X0</v>
      </c>
      <c r="N122" s="62" t="str">
        <f t="shared" si="16"/>
        <v>0X0</v>
      </c>
      <c r="O122" s="4" t="str">
        <f t="shared" si="9"/>
        <v>0X0</v>
      </c>
      <c r="P122" s="5">
        <f t="shared" si="14"/>
        <v>0</v>
      </c>
      <c r="Q122" s="9"/>
      <c r="R122" s="9"/>
      <c r="S122" s="13"/>
      <c r="T122" s="13"/>
      <c r="U122" s="13"/>
      <c r="V122" s="5"/>
    </row>
    <row r="123" spans="1:22" ht="20.100000000000001" customHeight="1" x14ac:dyDescent="0.2">
      <c r="A123" s="21"/>
      <c r="B123" s="5"/>
      <c r="C123" s="5"/>
      <c r="D123" s="9"/>
      <c r="E123" s="9"/>
      <c r="F123" s="9"/>
      <c r="G123" s="9"/>
      <c r="H123" s="9">
        <f t="shared" si="10"/>
        <v>0</v>
      </c>
      <c r="I123" s="9">
        <f t="shared" si="11"/>
        <v>0</v>
      </c>
      <c r="J123" s="9" t="str">
        <f t="shared" si="12"/>
        <v/>
      </c>
      <c r="K123" s="9" t="str">
        <f t="shared" si="15"/>
        <v>-</v>
      </c>
      <c r="L123" s="52" t="str">
        <f>IFERROR(VLOOKUP(K123,MASTER!$C$25:$D$30,2,0),"")</f>
        <v/>
      </c>
      <c r="M123" s="4" t="str">
        <f t="shared" si="13"/>
        <v>0X0</v>
      </c>
      <c r="N123" s="62" t="str">
        <f t="shared" si="16"/>
        <v>0X0</v>
      </c>
      <c r="O123" s="4" t="str">
        <f t="shared" si="9"/>
        <v>0X0</v>
      </c>
      <c r="P123" s="5">
        <f t="shared" si="14"/>
        <v>0</v>
      </c>
      <c r="Q123" s="9"/>
      <c r="R123" s="9"/>
      <c r="S123" s="13"/>
      <c r="T123" s="13"/>
      <c r="U123" s="13"/>
      <c r="V123" s="5"/>
    </row>
    <row r="124" spans="1:22" ht="20.100000000000001" customHeight="1" x14ac:dyDescent="0.2">
      <c r="A124" s="21"/>
      <c r="B124" s="5"/>
      <c r="C124" s="5"/>
      <c r="D124" s="9"/>
      <c r="E124" s="9"/>
      <c r="F124" s="9"/>
      <c r="G124" s="9"/>
      <c r="H124" s="9">
        <f t="shared" si="10"/>
        <v>0</v>
      </c>
      <c r="I124" s="9">
        <f t="shared" si="11"/>
        <v>0</v>
      </c>
      <c r="J124" s="9" t="str">
        <f t="shared" si="12"/>
        <v/>
      </c>
      <c r="K124" s="9" t="str">
        <f t="shared" si="15"/>
        <v>-</v>
      </c>
      <c r="L124" s="52" t="str">
        <f>IFERROR(VLOOKUP(K124,MASTER!$C$25:$D$30,2,0),"")</f>
        <v/>
      </c>
      <c r="M124" s="4" t="str">
        <f t="shared" si="13"/>
        <v>0X0</v>
      </c>
      <c r="N124" s="62" t="str">
        <f t="shared" si="16"/>
        <v>0X0</v>
      </c>
      <c r="O124" s="4" t="str">
        <f t="shared" si="9"/>
        <v>0X0</v>
      </c>
      <c r="P124" s="5">
        <f t="shared" si="14"/>
        <v>0</v>
      </c>
      <c r="Q124" s="9"/>
      <c r="R124" s="9"/>
      <c r="S124" s="13"/>
      <c r="T124" s="13"/>
      <c r="U124" s="13"/>
      <c r="V124" s="5"/>
    </row>
    <row r="125" spans="1:22" ht="20.100000000000001" customHeight="1" x14ac:dyDescent="0.2">
      <c r="A125" s="21"/>
      <c r="B125" s="5"/>
      <c r="C125" s="5"/>
      <c r="D125" s="9"/>
      <c r="E125" s="9"/>
      <c r="F125" s="9"/>
      <c r="G125" s="9"/>
      <c r="H125" s="9">
        <f t="shared" si="10"/>
        <v>0</v>
      </c>
      <c r="I125" s="9">
        <f t="shared" si="11"/>
        <v>0</v>
      </c>
      <c r="J125" s="9" t="str">
        <f t="shared" si="12"/>
        <v/>
      </c>
      <c r="K125" s="9" t="str">
        <f t="shared" si="15"/>
        <v>-</v>
      </c>
      <c r="L125" s="52" t="str">
        <f>IFERROR(VLOOKUP(K125,MASTER!$C$25:$D$30,2,0),"")</f>
        <v/>
      </c>
      <c r="M125" s="4" t="str">
        <f t="shared" si="13"/>
        <v>0X0</v>
      </c>
      <c r="N125" s="62" t="str">
        <f t="shared" si="16"/>
        <v>0X0</v>
      </c>
      <c r="O125" s="4" t="str">
        <f t="shared" si="9"/>
        <v>0X0</v>
      </c>
      <c r="P125" s="5">
        <f t="shared" si="14"/>
        <v>0</v>
      </c>
      <c r="Q125" s="9"/>
      <c r="R125" s="9"/>
      <c r="S125" s="13"/>
      <c r="T125" s="13"/>
      <c r="U125" s="13"/>
      <c r="V125" s="5"/>
    </row>
    <row r="126" spans="1:22" ht="20.100000000000001" customHeight="1" x14ac:dyDescent="0.2">
      <c r="A126" s="21"/>
      <c r="B126" s="5"/>
      <c r="C126" s="5"/>
      <c r="D126" s="9"/>
      <c r="E126" s="9"/>
      <c r="F126" s="9"/>
      <c r="G126" s="9"/>
      <c r="H126" s="9">
        <f t="shared" si="10"/>
        <v>0</v>
      </c>
      <c r="I126" s="9">
        <f t="shared" si="11"/>
        <v>0</v>
      </c>
      <c r="J126" s="9" t="str">
        <f t="shared" si="12"/>
        <v/>
      </c>
      <c r="K126" s="9" t="str">
        <f t="shared" si="15"/>
        <v>-</v>
      </c>
      <c r="L126" s="52" t="str">
        <f>IFERROR(VLOOKUP(K126,MASTER!$C$25:$D$30,2,0),"")</f>
        <v/>
      </c>
      <c r="M126" s="4" t="str">
        <f t="shared" si="13"/>
        <v>0X0</v>
      </c>
      <c r="N126" s="62" t="str">
        <f t="shared" si="16"/>
        <v>0X0</v>
      </c>
      <c r="O126" s="4" t="str">
        <f t="shared" si="9"/>
        <v>0X0</v>
      </c>
      <c r="P126" s="5">
        <f t="shared" si="14"/>
        <v>0</v>
      </c>
      <c r="Q126" s="9"/>
      <c r="R126" s="9"/>
      <c r="S126" s="13"/>
      <c r="T126" s="13"/>
      <c r="U126" s="13"/>
      <c r="V126" s="5"/>
    </row>
    <row r="127" spans="1:22" ht="20.100000000000001" customHeight="1" x14ac:dyDescent="0.2">
      <c r="A127" s="21"/>
      <c r="B127" s="5"/>
      <c r="C127" s="5"/>
      <c r="D127" s="9"/>
      <c r="E127" s="9"/>
      <c r="F127" s="9"/>
      <c r="G127" s="9"/>
      <c r="H127" s="9">
        <f t="shared" si="10"/>
        <v>0</v>
      </c>
      <c r="I127" s="9">
        <f t="shared" si="11"/>
        <v>0</v>
      </c>
      <c r="J127" s="9" t="str">
        <f t="shared" si="12"/>
        <v/>
      </c>
      <c r="K127" s="9" t="str">
        <f t="shared" si="15"/>
        <v>-</v>
      </c>
      <c r="L127" s="52" t="str">
        <f>IFERROR(VLOOKUP(K127,MASTER!$C$25:$D$30,2,0),"")</f>
        <v/>
      </c>
      <c r="M127" s="4" t="str">
        <f t="shared" si="13"/>
        <v>0X0</v>
      </c>
      <c r="N127" s="62" t="str">
        <f t="shared" si="16"/>
        <v>0X0</v>
      </c>
      <c r="O127" s="4" t="str">
        <f t="shared" si="9"/>
        <v>0X0</v>
      </c>
      <c r="P127" s="5">
        <f t="shared" si="14"/>
        <v>0</v>
      </c>
      <c r="Q127" s="9"/>
      <c r="R127" s="9"/>
      <c r="S127" s="13"/>
      <c r="T127" s="13"/>
      <c r="U127" s="13"/>
      <c r="V127" s="5"/>
    </row>
    <row r="128" spans="1:22" ht="20.100000000000001" customHeight="1" x14ac:dyDescent="0.2">
      <c r="A128" s="21"/>
      <c r="B128" s="5"/>
      <c r="C128" s="5"/>
      <c r="D128" s="9"/>
      <c r="E128" s="9"/>
      <c r="F128" s="9"/>
      <c r="G128" s="9"/>
      <c r="H128" s="9">
        <f t="shared" si="10"/>
        <v>0</v>
      </c>
      <c r="I128" s="9">
        <f t="shared" si="11"/>
        <v>0</v>
      </c>
      <c r="J128" s="9" t="str">
        <f t="shared" si="12"/>
        <v/>
      </c>
      <c r="K128" s="9" t="str">
        <f t="shared" si="15"/>
        <v>-</v>
      </c>
      <c r="L128" s="52" t="str">
        <f>IFERROR(VLOOKUP(K128,MASTER!$C$25:$D$30,2,0),"")</f>
        <v/>
      </c>
      <c r="M128" s="4" t="str">
        <f t="shared" si="13"/>
        <v>0X0</v>
      </c>
      <c r="N128" s="62" t="str">
        <f t="shared" si="16"/>
        <v>0X0</v>
      </c>
      <c r="O128" s="4" t="str">
        <f t="shared" si="9"/>
        <v>0X0</v>
      </c>
      <c r="P128" s="5">
        <f t="shared" si="14"/>
        <v>0</v>
      </c>
      <c r="Q128" s="9"/>
      <c r="R128" s="9"/>
      <c r="S128" s="13"/>
      <c r="T128" s="13"/>
      <c r="U128" s="13"/>
      <c r="V128" s="5"/>
    </row>
    <row r="129" spans="1:22" ht="20.100000000000001" customHeight="1" x14ac:dyDescent="0.2">
      <c r="A129" s="21"/>
      <c r="B129" s="5"/>
      <c r="C129" s="5"/>
      <c r="D129" s="9"/>
      <c r="E129" s="9"/>
      <c r="F129" s="9"/>
      <c r="G129" s="9"/>
      <c r="H129" s="9">
        <f t="shared" si="10"/>
        <v>0</v>
      </c>
      <c r="I129" s="9">
        <f t="shared" si="11"/>
        <v>0</v>
      </c>
      <c r="J129" s="9" t="str">
        <f t="shared" si="12"/>
        <v/>
      </c>
      <c r="K129" s="9" t="str">
        <f t="shared" si="15"/>
        <v>-</v>
      </c>
      <c r="L129" s="52" t="str">
        <f>IFERROR(VLOOKUP(K129,MASTER!$C$25:$D$30,2,0),"")</f>
        <v/>
      </c>
      <c r="M129" s="4" t="str">
        <f t="shared" si="13"/>
        <v>0X0</v>
      </c>
      <c r="N129" s="62" t="str">
        <f t="shared" si="16"/>
        <v>0X0</v>
      </c>
      <c r="O129" s="4" t="str">
        <f t="shared" si="9"/>
        <v>0X0</v>
      </c>
      <c r="P129" s="5">
        <f t="shared" si="14"/>
        <v>0</v>
      </c>
      <c r="Q129" s="9"/>
      <c r="R129" s="9"/>
      <c r="S129" s="13"/>
      <c r="T129" s="13"/>
      <c r="U129" s="13"/>
      <c r="V129" s="5"/>
    </row>
    <row r="130" spans="1:22" ht="20.100000000000001" customHeight="1" x14ac:dyDescent="0.2">
      <c r="A130" s="21"/>
      <c r="B130" s="5"/>
      <c r="C130" s="5"/>
      <c r="D130" s="9"/>
      <c r="E130" s="9"/>
      <c r="F130" s="9"/>
      <c r="G130" s="9"/>
      <c r="H130" s="9">
        <f t="shared" si="10"/>
        <v>0</v>
      </c>
      <c r="I130" s="9">
        <f t="shared" si="11"/>
        <v>0</v>
      </c>
      <c r="J130" s="9" t="str">
        <f t="shared" si="12"/>
        <v/>
      </c>
      <c r="K130" s="9" t="str">
        <f t="shared" si="15"/>
        <v>-</v>
      </c>
      <c r="L130" s="52" t="str">
        <f>IFERROR(VLOOKUP(K130,MASTER!$C$25:$D$30,2,0),"")</f>
        <v/>
      </c>
      <c r="M130" s="4" t="str">
        <f t="shared" si="13"/>
        <v>0X0</v>
      </c>
      <c r="N130" s="62" t="str">
        <f t="shared" si="16"/>
        <v>0X0</v>
      </c>
      <c r="O130" s="4" t="str">
        <f t="shared" si="9"/>
        <v>0X0</v>
      </c>
      <c r="P130" s="5">
        <f t="shared" si="14"/>
        <v>0</v>
      </c>
      <c r="Q130" s="9"/>
      <c r="R130" s="9"/>
      <c r="S130" s="13"/>
      <c r="T130" s="13"/>
      <c r="U130" s="13"/>
      <c r="V130" s="5"/>
    </row>
    <row r="131" spans="1:22" ht="20.100000000000001" customHeight="1" x14ac:dyDescent="0.2">
      <c r="A131" s="21"/>
      <c r="B131" s="5"/>
      <c r="C131" s="5"/>
      <c r="D131" s="9"/>
      <c r="E131" s="9"/>
      <c r="F131" s="9"/>
      <c r="G131" s="9"/>
      <c r="H131" s="9">
        <f t="shared" si="10"/>
        <v>0</v>
      </c>
      <c r="I131" s="9">
        <f t="shared" si="11"/>
        <v>0</v>
      </c>
      <c r="J131" s="9" t="str">
        <f t="shared" si="12"/>
        <v/>
      </c>
      <c r="K131" s="9" t="str">
        <f t="shared" si="15"/>
        <v>-</v>
      </c>
      <c r="L131" s="52" t="str">
        <f>IFERROR(VLOOKUP(K131,MASTER!$C$25:$D$30,2,0),"")</f>
        <v/>
      </c>
      <c r="M131" s="4" t="str">
        <f t="shared" si="13"/>
        <v>0X0</v>
      </c>
      <c r="N131" s="62" t="str">
        <f t="shared" si="16"/>
        <v>0X0</v>
      </c>
      <c r="O131" s="4" t="str">
        <f t="shared" si="9"/>
        <v>0X0</v>
      </c>
      <c r="P131" s="5">
        <f t="shared" si="14"/>
        <v>0</v>
      </c>
      <c r="Q131" s="9"/>
      <c r="R131" s="9"/>
      <c r="S131" s="13"/>
      <c r="T131" s="13"/>
      <c r="U131" s="13"/>
      <c r="V131" s="5"/>
    </row>
    <row r="132" spans="1:22" ht="20.100000000000001" customHeight="1" x14ac:dyDescent="0.2">
      <c r="A132" s="21"/>
      <c r="B132" s="5"/>
      <c r="C132" s="5"/>
      <c r="D132" s="9"/>
      <c r="E132" s="9"/>
      <c r="F132" s="9"/>
      <c r="G132" s="9"/>
      <c r="H132" s="9">
        <f t="shared" si="10"/>
        <v>0</v>
      </c>
      <c r="I132" s="9">
        <f t="shared" si="11"/>
        <v>0</v>
      </c>
      <c r="J132" s="9" t="str">
        <f t="shared" si="12"/>
        <v/>
      </c>
      <c r="K132" s="9" t="str">
        <f t="shared" si="15"/>
        <v>-</v>
      </c>
      <c r="L132" s="52" t="str">
        <f>IFERROR(VLOOKUP(K132,MASTER!$C$25:$D$30,2,0),"")</f>
        <v/>
      </c>
      <c r="M132" s="4" t="str">
        <f t="shared" si="13"/>
        <v>0X0</v>
      </c>
      <c r="N132" s="62" t="str">
        <f t="shared" si="16"/>
        <v>0X0</v>
      </c>
      <c r="O132" s="4" t="str">
        <f t="shared" si="9"/>
        <v>0X0</v>
      </c>
      <c r="P132" s="5">
        <f t="shared" si="14"/>
        <v>0</v>
      </c>
      <c r="Q132" s="9"/>
      <c r="R132" s="9"/>
      <c r="S132" s="13"/>
      <c r="T132" s="13"/>
      <c r="U132" s="13"/>
      <c r="V132" s="5"/>
    </row>
    <row r="133" spans="1:22" ht="20.100000000000001" customHeight="1" x14ac:dyDescent="0.2">
      <c r="A133" s="21"/>
      <c r="B133" s="5"/>
      <c r="C133" s="5"/>
      <c r="D133" s="9"/>
      <c r="E133" s="9"/>
      <c r="F133" s="9"/>
      <c r="G133" s="9"/>
      <c r="H133" s="9">
        <f t="shared" si="10"/>
        <v>0</v>
      </c>
      <c r="I133" s="9">
        <f t="shared" si="11"/>
        <v>0</v>
      </c>
      <c r="J133" s="9" t="str">
        <f t="shared" si="12"/>
        <v/>
      </c>
      <c r="K133" s="9" t="str">
        <f t="shared" si="15"/>
        <v>-</v>
      </c>
      <c r="L133" s="52" t="str">
        <f>IFERROR(VLOOKUP(K133,MASTER!$C$25:$D$30,2,0),"")</f>
        <v/>
      </c>
      <c r="M133" s="4" t="str">
        <f t="shared" si="13"/>
        <v>0X0</v>
      </c>
      <c r="N133" s="62" t="str">
        <f t="shared" si="16"/>
        <v>0X0</v>
      </c>
      <c r="O133" s="4" t="str">
        <f t="shared" ref="O133:O196" si="17">N133</f>
        <v>0X0</v>
      </c>
      <c r="P133" s="5">
        <f t="shared" si="14"/>
        <v>0</v>
      </c>
      <c r="Q133" s="9"/>
      <c r="R133" s="9"/>
      <c r="S133" s="13"/>
      <c r="T133" s="13"/>
      <c r="U133" s="13"/>
      <c r="V133" s="5"/>
    </row>
    <row r="134" spans="1:22" ht="20.100000000000001" customHeight="1" x14ac:dyDescent="0.2">
      <c r="A134" s="21"/>
      <c r="B134" s="5"/>
      <c r="C134" s="5"/>
      <c r="D134" s="9"/>
      <c r="E134" s="9"/>
      <c r="F134" s="9"/>
      <c r="G134" s="9"/>
      <c r="H134" s="9">
        <f t="shared" ref="H134:H197" si="18">IF(D134="",0,IF(VALUE(D134)&gt;VALUE(E134),IF(OR(VALUE(D134)=13,VALUE(D134)=20,VALUE(D134)=72,VALUE(D134)=75,VALUE(D134)=78,VALUE(D134)=80,VALUE(D134)=84),D134,IF(VALUE(D134)&lt;72,72,IF(VALUE(D134)&lt;75,75,IF(VALUE(D134)&lt;78,78,IF(VALUE(D134)&lt;80,80,IF(VALUE(D134)&lt;84,84,IF(VALUE(D134)&gt;84,84,""""))))))),IF(OR(VALUE(D134)=13,VALUE(D134)=20,VALUE(D134)=30,VALUE(D134)=33,VALUE(D134)=36,VALUE(D134)=39,VALUE(D134)=42,VALUE(D134)=45,VALUE(D134)=48,VALUE(D134)=51,VALUE(D134)=54,VALUE(D134)=57,VALUE(D134)=60,VALUE(D134)=63,VALUE(D134)=66,VALUE(D134)=69,VALUE(D134)=72),D134,IF(VALUE(D134)&lt;30,30,IF(VALUE(D134)&lt;33,33,IF(VALUE(D134)&lt;36,36,IF(VALUE(D134)&lt;39,39,IF(VALUE(D134)&lt;42,42,IF(VALUE(D134)&lt;45,45,IF(VALUE(D134)&lt;48,48,IF(VALUE(D134)&lt;51,51,IF(VALUE(D134)&lt;54,54,IF(VALUE(D134)&lt;57,57,IF(VALUE(D134)&lt;60,60,IF(VALUE(D134)&lt;63,63,IF(VALUE(D134)&lt;66,66,IF(VALUE(D134)&lt;69,69,IF(VALUE(D134)&lt;72,72,IF(VALUE(D134)&gt;72,72,"""")))))))))))))))))))</f>
        <v>0</v>
      </c>
      <c r="I134" s="9">
        <f t="shared" ref="I134:I197" si="19">IF(E134="",0,IF(VALUE(D134)&gt;VALUE(E134),IF(OR(VALUE(E134)=13,VALUE(E134)=18,VALUE(E134)=30,VALUE(E134)=33,VALUE(E134)=36,VALUE(E134)=39,VALUE(E134)=42,VALUE(E134)=45,VALUE(E134)=48,VALUE(E134)=51,VALUE(E134)=54,VALUE(E134)=57,VALUE(E134)=60,VALUE(E134)=63,VALUE(E134)=66,VALUE(E134)=69,VALUE(E134)=72),E134,IF(VALUE(E134)&lt;30,30,IF(VALUE(E134)&lt;33,33,IF(VALUE(E134)&lt;36,36,IF(VALUE(E134)&lt;39,39,IF(VALUE(E134)&lt;42,42,IF(VALUE(E134)&lt;45,45,IF(VALUE(E134)&lt;48,48,IF(VALUE(E134)&lt;51,51,IF(VALUE(E134)&lt;54,54,IF(VALUE(E134)&lt;57,57,IF(VALUE(E134)&lt;60,60,IF(VALUE(E134)&lt;63,63,IF(VALUE(E134)&lt;66,66,IF(VALUE(E134)&lt;69,69,IF(VALUE(E134)&lt;72,72,IF(VALUE(E134)&gt;72,72,""""))))))))))))))))),IF(OR(VALUE(E134)=13,VALUE(E134)=18,VALUE(E134)=72,VALUE(E134)=75,VALUE(E134)=78,VALUE(E134)=80,VALUE(E134)=84),E134,IF(VALUE(E134)&lt;72,72,IF(VALUE(E134)&lt;75,75,IF(VALUE(E134)&lt;78,78,IF(VALUE(E134)&lt;80,80,IF(VALUE(E134)&lt;84,84,IF(VALUE(E134)&gt;84,84,"""")))))))))</f>
        <v>0</v>
      </c>
      <c r="J134" s="9" t="str">
        <f t="shared" ref="J134:J197" si="20">IF(F134&gt;7,F134,"")</f>
        <v/>
      </c>
      <c r="K134" s="9" t="str">
        <f t="shared" si="15"/>
        <v>-</v>
      </c>
      <c r="L134" s="52" t="str">
        <f>IFERROR(VLOOKUP(K134,MASTER!$C$25:$D$30,2,0),"")</f>
        <v/>
      </c>
      <c r="M134" s="4" t="str">
        <f t="shared" ref="M134:M197" si="21">IFERROR(IF(J134=8,(H134&amp;"X"&amp;I134&amp;"X"&amp;"0"&amp;J134),(H134&amp;"X"&amp;I134)),"")</f>
        <v>0X0</v>
      </c>
      <c r="N134" s="62" t="str">
        <f t="shared" si="16"/>
        <v>0X0</v>
      </c>
      <c r="O134" s="4" t="str">
        <f t="shared" si="17"/>
        <v>0X0</v>
      </c>
      <c r="P134" s="5">
        <f t="shared" ref="P134:P197" si="22">+G134</f>
        <v>0</v>
      </c>
      <c r="Q134" s="9"/>
      <c r="R134" s="9"/>
      <c r="S134" s="13"/>
      <c r="T134" s="13"/>
      <c r="U134" s="13"/>
      <c r="V134" s="5"/>
    </row>
    <row r="135" spans="1:22" ht="20.100000000000001" customHeight="1" x14ac:dyDescent="0.2">
      <c r="A135" s="21"/>
      <c r="B135" s="5"/>
      <c r="C135" s="5"/>
      <c r="D135" s="9"/>
      <c r="E135" s="9"/>
      <c r="F135" s="9"/>
      <c r="G135" s="9"/>
      <c r="H135" s="9">
        <f t="shared" si="18"/>
        <v>0</v>
      </c>
      <c r="I135" s="9">
        <f t="shared" si="19"/>
        <v>0</v>
      </c>
      <c r="J135" s="9" t="str">
        <f t="shared" si="20"/>
        <v/>
      </c>
      <c r="K135" s="9" t="str">
        <f t="shared" si="15"/>
        <v>-</v>
      </c>
      <c r="L135" s="52" t="str">
        <f>IFERROR(VLOOKUP(K135,MASTER!$C$25:$D$30,2,0),"")</f>
        <v/>
      </c>
      <c r="M135" s="4" t="str">
        <f t="shared" si="21"/>
        <v>0X0</v>
      </c>
      <c r="N135" s="62" t="str">
        <f t="shared" si="16"/>
        <v>0X0</v>
      </c>
      <c r="O135" s="4" t="str">
        <f t="shared" si="17"/>
        <v>0X0</v>
      </c>
      <c r="P135" s="5">
        <f t="shared" si="22"/>
        <v>0</v>
      </c>
      <c r="Q135" s="9"/>
      <c r="R135" s="9"/>
      <c r="S135" s="13"/>
      <c r="T135" s="13"/>
      <c r="U135" s="13"/>
      <c r="V135" s="5"/>
    </row>
    <row r="136" spans="1:22" ht="20.100000000000001" customHeight="1" x14ac:dyDescent="0.2">
      <c r="A136" s="21"/>
      <c r="B136" s="5"/>
      <c r="C136" s="5"/>
      <c r="D136" s="9"/>
      <c r="E136" s="9"/>
      <c r="F136" s="9"/>
      <c r="G136" s="9"/>
      <c r="H136" s="9">
        <f t="shared" si="18"/>
        <v>0</v>
      </c>
      <c r="I136" s="9">
        <f t="shared" si="19"/>
        <v>0</v>
      </c>
      <c r="J136" s="9" t="str">
        <f t="shared" si="20"/>
        <v/>
      </c>
      <c r="K136" s="9" t="str">
        <f t="shared" si="15"/>
        <v>-</v>
      </c>
      <c r="L136" s="52" t="str">
        <f>IFERROR(VLOOKUP(K136,MASTER!$C$25:$D$30,2,0),"")</f>
        <v/>
      </c>
      <c r="M136" s="4" t="str">
        <f t="shared" si="21"/>
        <v>0X0</v>
      </c>
      <c r="N136" s="62" t="str">
        <f t="shared" si="16"/>
        <v>0X0</v>
      </c>
      <c r="O136" s="4" t="str">
        <f t="shared" si="17"/>
        <v>0X0</v>
      </c>
      <c r="P136" s="5">
        <f t="shared" si="22"/>
        <v>0</v>
      </c>
      <c r="Q136" s="9"/>
      <c r="R136" s="9"/>
      <c r="S136" s="13"/>
      <c r="T136" s="13"/>
      <c r="U136" s="13"/>
      <c r="V136" s="5"/>
    </row>
    <row r="137" spans="1:22" ht="20.100000000000001" customHeight="1" x14ac:dyDescent="0.2">
      <c r="A137" s="21"/>
      <c r="B137" s="5"/>
      <c r="C137" s="5"/>
      <c r="D137" s="9"/>
      <c r="E137" s="9"/>
      <c r="F137" s="9"/>
      <c r="G137" s="9"/>
      <c r="H137" s="9">
        <f t="shared" si="18"/>
        <v>0</v>
      </c>
      <c r="I137" s="9">
        <f t="shared" si="19"/>
        <v>0</v>
      </c>
      <c r="J137" s="9" t="str">
        <f t="shared" si="20"/>
        <v/>
      </c>
      <c r="K137" s="9" t="str">
        <f t="shared" ref="K137:K200" si="23">B137&amp;"-"&amp;C137</f>
        <v>-</v>
      </c>
      <c r="L137" s="52" t="str">
        <f>IFERROR(VLOOKUP(K137,MASTER!$C$25:$D$30,2,0),"")</f>
        <v/>
      </c>
      <c r="M137" s="4" t="str">
        <f t="shared" si="21"/>
        <v>0X0</v>
      </c>
      <c r="N137" s="62" t="str">
        <f t="shared" ref="N137:N200" si="24">IFERROR((L137&amp;M137),"")</f>
        <v>0X0</v>
      </c>
      <c r="O137" s="4" t="str">
        <f t="shared" si="17"/>
        <v>0X0</v>
      </c>
      <c r="P137" s="5">
        <f t="shared" si="22"/>
        <v>0</v>
      </c>
      <c r="Q137" s="9"/>
      <c r="R137" s="9"/>
      <c r="S137" s="13"/>
      <c r="T137" s="13"/>
      <c r="U137" s="13"/>
      <c r="V137" s="5"/>
    </row>
    <row r="138" spans="1:22" ht="20.100000000000001" customHeight="1" x14ac:dyDescent="0.2">
      <c r="A138" s="21"/>
      <c r="B138" s="5"/>
      <c r="C138" s="5"/>
      <c r="D138" s="9"/>
      <c r="E138" s="9"/>
      <c r="F138" s="9"/>
      <c r="G138" s="9"/>
      <c r="H138" s="9">
        <f t="shared" si="18"/>
        <v>0</v>
      </c>
      <c r="I138" s="9">
        <f t="shared" si="19"/>
        <v>0</v>
      </c>
      <c r="J138" s="9" t="str">
        <f t="shared" si="20"/>
        <v/>
      </c>
      <c r="K138" s="9" t="str">
        <f t="shared" si="23"/>
        <v>-</v>
      </c>
      <c r="L138" s="52" t="str">
        <f>IFERROR(VLOOKUP(K138,MASTER!$C$25:$D$30,2,0),"")</f>
        <v/>
      </c>
      <c r="M138" s="4" t="str">
        <f t="shared" si="21"/>
        <v>0X0</v>
      </c>
      <c r="N138" s="62" t="str">
        <f t="shared" si="24"/>
        <v>0X0</v>
      </c>
      <c r="O138" s="4" t="str">
        <f t="shared" si="17"/>
        <v>0X0</v>
      </c>
      <c r="P138" s="5">
        <f t="shared" si="22"/>
        <v>0</v>
      </c>
      <c r="Q138" s="9"/>
      <c r="R138" s="9"/>
      <c r="S138" s="13"/>
      <c r="T138" s="13"/>
      <c r="U138" s="13"/>
      <c r="V138" s="5"/>
    </row>
    <row r="139" spans="1:22" ht="20.100000000000001" customHeight="1" x14ac:dyDescent="0.2">
      <c r="A139" s="21"/>
      <c r="B139" s="5"/>
      <c r="C139" s="5"/>
      <c r="D139" s="9"/>
      <c r="E139" s="9"/>
      <c r="F139" s="9"/>
      <c r="G139" s="9"/>
      <c r="H139" s="9">
        <f t="shared" si="18"/>
        <v>0</v>
      </c>
      <c r="I139" s="9">
        <f t="shared" si="19"/>
        <v>0</v>
      </c>
      <c r="J139" s="9" t="str">
        <f t="shared" si="20"/>
        <v/>
      </c>
      <c r="K139" s="9" t="str">
        <f t="shared" si="23"/>
        <v>-</v>
      </c>
      <c r="L139" s="52" t="str">
        <f>IFERROR(VLOOKUP(K139,MASTER!$C$25:$D$30,2,0),"")</f>
        <v/>
      </c>
      <c r="M139" s="4" t="str">
        <f t="shared" si="21"/>
        <v>0X0</v>
      </c>
      <c r="N139" s="62" t="str">
        <f t="shared" si="24"/>
        <v>0X0</v>
      </c>
      <c r="O139" s="4" t="str">
        <f t="shared" si="17"/>
        <v>0X0</v>
      </c>
      <c r="P139" s="5">
        <f t="shared" si="22"/>
        <v>0</v>
      </c>
      <c r="Q139" s="9"/>
      <c r="R139" s="9"/>
      <c r="S139" s="13"/>
      <c r="T139" s="13"/>
      <c r="U139" s="13"/>
      <c r="V139" s="5"/>
    </row>
    <row r="140" spans="1:22" ht="20.100000000000001" customHeight="1" x14ac:dyDescent="0.2">
      <c r="A140" s="21"/>
      <c r="B140" s="5"/>
      <c r="C140" s="5"/>
      <c r="D140" s="9"/>
      <c r="E140" s="9"/>
      <c r="F140" s="9"/>
      <c r="G140" s="9"/>
      <c r="H140" s="9">
        <f t="shared" si="18"/>
        <v>0</v>
      </c>
      <c r="I140" s="9">
        <f t="shared" si="19"/>
        <v>0</v>
      </c>
      <c r="J140" s="9" t="str">
        <f t="shared" si="20"/>
        <v/>
      </c>
      <c r="K140" s="9" t="str">
        <f t="shared" si="23"/>
        <v>-</v>
      </c>
      <c r="L140" s="52" t="str">
        <f>IFERROR(VLOOKUP(K140,MASTER!$C$25:$D$30,2,0),"")</f>
        <v/>
      </c>
      <c r="M140" s="4" t="str">
        <f t="shared" si="21"/>
        <v>0X0</v>
      </c>
      <c r="N140" s="62" t="str">
        <f t="shared" si="24"/>
        <v>0X0</v>
      </c>
      <c r="O140" s="4" t="str">
        <f t="shared" si="17"/>
        <v>0X0</v>
      </c>
      <c r="P140" s="5">
        <f t="shared" si="22"/>
        <v>0</v>
      </c>
      <c r="Q140" s="9"/>
      <c r="R140" s="9"/>
      <c r="S140" s="13"/>
      <c r="T140" s="13"/>
      <c r="U140" s="13"/>
      <c r="V140" s="5"/>
    </row>
    <row r="141" spans="1:22" ht="20.100000000000001" customHeight="1" x14ac:dyDescent="0.2">
      <c r="A141" s="21"/>
      <c r="B141" s="5"/>
      <c r="C141" s="5"/>
      <c r="D141" s="9"/>
      <c r="E141" s="9"/>
      <c r="F141" s="9"/>
      <c r="G141" s="9"/>
      <c r="H141" s="9">
        <f t="shared" si="18"/>
        <v>0</v>
      </c>
      <c r="I141" s="9">
        <f t="shared" si="19"/>
        <v>0</v>
      </c>
      <c r="J141" s="9" t="str">
        <f t="shared" si="20"/>
        <v/>
      </c>
      <c r="K141" s="9" t="str">
        <f t="shared" si="23"/>
        <v>-</v>
      </c>
      <c r="L141" s="52" t="str">
        <f>IFERROR(VLOOKUP(K141,MASTER!$C$25:$D$30,2,0),"")</f>
        <v/>
      </c>
      <c r="M141" s="4" t="str">
        <f t="shared" si="21"/>
        <v>0X0</v>
      </c>
      <c r="N141" s="62" t="str">
        <f t="shared" si="24"/>
        <v>0X0</v>
      </c>
      <c r="O141" s="4" t="str">
        <f t="shared" si="17"/>
        <v>0X0</v>
      </c>
      <c r="P141" s="5">
        <f t="shared" si="22"/>
        <v>0</v>
      </c>
      <c r="Q141" s="9"/>
      <c r="R141" s="9"/>
      <c r="S141" s="13"/>
      <c r="T141" s="13"/>
      <c r="U141" s="13"/>
      <c r="V141" s="5"/>
    </row>
    <row r="142" spans="1:22" ht="20.100000000000001" customHeight="1" x14ac:dyDescent="0.2">
      <c r="A142" s="21"/>
      <c r="B142" s="5"/>
      <c r="C142" s="5"/>
      <c r="D142" s="9"/>
      <c r="E142" s="9"/>
      <c r="F142" s="9"/>
      <c r="G142" s="9"/>
      <c r="H142" s="9">
        <f t="shared" si="18"/>
        <v>0</v>
      </c>
      <c r="I142" s="9">
        <f t="shared" si="19"/>
        <v>0</v>
      </c>
      <c r="J142" s="9" t="str">
        <f t="shared" si="20"/>
        <v/>
      </c>
      <c r="K142" s="9" t="str">
        <f t="shared" si="23"/>
        <v>-</v>
      </c>
      <c r="L142" s="52" t="str">
        <f>IFERROR(VLOOKUP(K142,MASTER!$C$25:$D$30,2,0),"")</f>
        <v/>
      </c>
      <c r="M142" s="4" t="str">
        <f t="shared" si="21"/>
        <v>0X0</v>
      </c>
      <c r="N142" s="62" t="str">
        <f t="shared" si="24"/>
        <v>0X0</v>
      </c>
      <c r="O142" s="4" t="str">
        <f t="shared" si="17"/>
        <v>0X0</v>
      </c>
      <c r="P142" s="5">
        <f t="shared" si="22"/>
        <v>0</v>
      </c>
      <c r="Q142" s="9"/>
      <c r="R142" s="9"/>
      <c r="S142" s="13"/>
      <c r="T142" s="13"/>
      <c r="U142" s="13"/>
      <c r="V142" s="5"/>
    </row>
    <row r="143" spans="1:22" ht="20.100000000000001" customHeight="1" x14ac:dyDescent="0.2">
      <c r="A143" s="21"/>
      <c r="B143" s="5"/>
      <c r="C143" s="5"/>
      <c r="D143" s="9"/>
      <c r="E143" s="9"/>
      <c r="F143" s="9"/>
      <c r="G143" s="9"/>
      <c r="H143" s="9">
        <f t="shared" si="18"/>
        <v>0</v>
      </c>
      <c r="I143" s="9">
        <f t="shared" si="19"/>
        <v>0</v>
      </c>
      <c r="J143" s="9" t="str">
        <f t="shared" si="20"/>
        <v/>
      </c>
      <c r="K143" s="9" t="str">
        <f t="shared" si="23"/>
        <v>-</v>
      </c>
      <c r="L143" s="52" t="str">
        <f>IFERROR(VLOOKUP(K143,MASTER!$C$25:$D$30,2,0),"")</f>
        <v/>
      </c>
      <c r="M143" s="4" t="str">
        <f t="shared" si="21"/>
        <v>0X0</v>
      </c>
      <c r="N143" s="62" t="str">
        <f t="shared" si="24"/>
        <v>0X0</v>
      </c>
      <c r="O143" s="4" t="str">
        <f t="shared" si="17"/>
        <v>0X0</v>
      </c>
      <c r="P143" s="5">
        <f t="shared" si="22"/>
        <v>0</v>
      </c>
      <c r="Q143" s="9"/>
      <c r="R143" s="9"/>
      <c r="S143" s="13"/>
      <c r="T143" s="13"/>
      <c r="U143" s="13"/>
      <c r="V143" s="5"/>
    </row>
    <row r="144" spans="1:22" ht="20.100000000000001" customHeight="1" x14ac:dyDescent="0.2">
      <c r="A144" s="21"/>
      <c r="B144" s="5"/>
      <c r="C144" s="5"/>
      <c r="D144" s="9"/>
      <c r="E144" s="9"/>
      <c r="F144" s="9"/>
      <c r="G144" s="9"/>
      <c r="H144" s="9">
        <f t="shared" si="18"/>
        <v>0</v>
      </c>
      <c r="I144" s="9">
        <f t="shared" si="19"/>
        <v>0</v>
      </c>
      <c r="J144" s="9" t="str">
        <f t="shared" si="20"/>
        <v/>
      </c>
      <c r="K144" s="9" t="str">
        <f t="shared" si="23"/>
        <v>-</v>
      </c>
      <c r="L144" s="52" t="str">
        <f>IFERROR(VLOOKUP(K144,MASTER!$C$25:$D$30,2,0),"")</f>
        <v/>
      </c>
      <c r="M144" s="4" t="str">
        <f t="shared" si="21"/>
        <v>0X0</v>
      </c>
      <c r="N144" s="62" t="str">
        <f t="shared" si="24"/>
        <v>0X0</v>
      </c>
      <c r="O144" s="4" t="str">
        <f t="shared" si="17"/>
        <v>0X0</v>
      </c>
      <c r="P144" s="5">
        <f t="shared" si="22"/>
        <v>0</v>
      </c>
      <c r="Q144" s="9"/>
      <c r="R144" s="9"/>
      <c r="S144" s="13"/>
      <c r="T144" s="13"/>
      <c r="U144" s="13"/>
      <c r="V144" s="5"/>
    </row>
    <row r="145" spans="1:22" ht="20.100000000000001" customHeight="1" x14ac:dyDescent="0.2">
      <c r="A145" s="21"/>
      <c r="B145" s="5"/>
      <c r="C145" s="5"/>
      <c r="D145" s="9"/>
      <c r="E145" s="9"/>
      <c r="F145" s="9"/>
      <c r="G145" s="9"/>
      <c r="H145" s="9">
        <f t="shared" si="18"/>
        <v>0</v>
      </c>
      <c r="I145" s="9">
        <f t="shared" si="19"/>
        <v>0</v>
      </c>
      <c r="J145" s="9" t="str">
        <f t="shared" si="20"/>
        <v/>
      </c>
      <c r="K145" s="9" t="str">
        <f t="shared" si="23"/>
        <v>-</v>
      </c>
      <c r="L145" s="52" t="str">
        <f>IFERROR(VLOOKUP(K145,MASTER!$C$25:$D$30,2,0),"")</f>
        <v/>
      </c>
      <c r="M145" s="4" t="str">
        <f t="shared" si="21"/>
        <v>0X0</v>
      </c>
      <c r="N145" s="62" t="str">
        <f t="shared" si="24"/>
        <v>0X0</v>
      </c>
      <c r="O145" s="4" t="str">
        <f t="shared" si="17"/>
        <v>0X0</v>
      </c>
      <c r="P145" s="5">
        <f t="shared" si="22"/>
        <v>0</v>
      </c>
      <c r="Q145" s="9"/>
      <c r="R145" s="9"/>
      <c r="S145" s="13"/>
      <c r="T145" s="13"/>
      <c r="U145" s="13"/>
      <c r="V145" s="5"/>
    </row>
    <row r="146" spans="1:22" ht="20.100000000000001" customHeight="1" x14ac:dyDescent="0.2">
      <c r="A146" s="21"/>
      <c r="B146" s="5"/>
      <c r="C146" s="5"/>
      <c r="D146" s="9"/>
      <c r="E146" s="9"/>
      <c r="F146" s="9"/>
      <c r="G146" s="9"/>
      <c r="H146" s="9">
        <f t="shared" si="18"/>
        <v>0</v>
      </c>
      <c r="I146" s="9">
        <f t="shared" si="19"/>
        <v>0</v>
      </c>
      <c r="J146" s="9" t="str">
        <f t="shared" si="20"/>
        <v/>
      </c>
      <c r="K146" s="9" t="str">
        <f t="shared" si="23"/>
        <v>-</v>
      </c>
      <c r="L146" s="52" t="str">
        <f>IFERROR(VLOOKUP(K146,MASTER!$C$25:$D$30,2,0),"")</f>
        <v/>
      </c>
      <c r="M146" s="4" t="str">
        <f t="shared" si="21"/>
        <v>0X0</v>
      </c>
      <c r="N146" s="62" t="str">
        <f t="shared" si="24"/>
        <v>0X0</v>
      </c>
      <c r="O146" s="4" t="str">
        <f t="shared" si="17"/>
        <v>0X0</v>
      </c>
      <c r="P146" s="5">
        <f t="shared" si="22"/>
        <v>0</v>
      </c>
      <c r="Q146" s="9"/>
      <c r="R146" s="9"/>
      <c r="S146" s="13"/>
      <c r="T146" s="13"/>
      <c r="U146" s="13"/>
      <c r="V146" s="5"/>
    </row>
    <row r="147" spans="1:22" ht="20.100000000000001" customHeight="1" x14ac:dyDescent="0.2">
      <c r="A147" s="21"/>
      <c r="B147" s="5"/>
      <c r="C147" s="5"/>
      <c r="D147" s="9"/>
      <c r="E147" s="9"/>
      <c r="F147" s="9"/>
      <c r="G147" s="9"/>
      <c r="H147" s="9">
        <f t="shared" si="18"/>
        <v>0</v>
      </c>
      <c r="I147" s="9">
        <f t="shared" si="19"/>
        <v>0</v>
      </c>
      <c r="J147" s="9" t="str">
        <f t="shared" si="20"/>
        <v/>
      </c>
      <c r="K147" s="9" t="str">
        <f t="shared" si="23"/>
        <v>-</v>
      </c>
      <c r="L147" s="52" t="str">
        <f>IFERROR(VLOOKUP(K147,MASTER!$C$25:$D$30,2,0),"")</f>
        <v/>
      </c>
      <c r="M147" s="4" t="str">
        <f t="shared" si="21"/>
        <v>0X0</v>
      </c>
      <c r="N147" s="62" t="str">
        <f t="shared" si="24"/>
        <v>0X0</v>
      </c>
      <c r="O147" s="4" t="str">
        <f t="shared" si="17"/>
        <v>0X0</v>
      </c>
      <c r="P147" s="5">
        <f t="shared" si="22"/>
        <v>0</v>
      </c>
      <c r="Q147" s="9"/>
      <c r="R147" s="9"/>
      <c r="S147" s="13"/>
      <c r="T147" s="13"/>
      <c r="U147" s="13"/>
      <c r="V147" s="5"/>
    </row>
    <row r="148" spans="1:22" ht="20.100000000000001" customHeight="1" x14ac:dyDescent="0.2">
      <c r="A148" s="21"/>
      <c r="B148" s="5"/>
      <c r="C148" s="5"/>
      <c r="D148" s="9"/>
      <c r="E148" s="9"/>
      <c r="F148" s="9"/>
      <c r="G148" s="9"/>
      <c r="H148" s="9">
        <f t="shared" si="18"/>
        <v>0</v>
      </c>
      <c r="I148" s="9">
        <f t="shared" si="19"/>
        <v>0</v>
      </c>
      <c r="J148" s="9" t="str">
        <f t="shared" si="20"/>
        <v/>
      </c>
      <c r="K148" s="9" t="str">
        <f t="shared" si="23"/>
        <v>-</v>
      </c>
      <c r="L148" s="52" t="str">
        <f>IFERROR(VLOOKUP(K148,MASTER!$C$25:$D$30,2,0),"")</f>
        <v/>
      </c>
      <c r="M148" s="4" t="str">
        <f t="shared" si="21"/>
        <v>0X0</v>
      </c>
      <c r="N148" s="62" t="str">
        <f t="shared" si="24"/>
        <v>0X0</v>
      </c>
      <c r="O148" s="4" t="str">
        <f t="shared" si="17"/>
        <v>0X0</v>
      </c>
      <c r="P148" s="5">
        <f t="shared" si="22"/>
        <v>0</v>
      </c>
      <c r="Q148" s="9"/>
      <c r="R148" s="9"/>
      <c r="S148" s="13"/>
      <c r="T148" s="13"/>
      <c r="U148" s="13"/>
      <c r="V148" s="5"/>
    </row>
    <row r="149" spans="1:22" ht="20.100000000000001" customHeight="1" x14ac:dyDescent="0.2">
      <c r="A149" s="21"/>
      <c r="B149" s="5"/>
      <c r="C149" s="5"/>
      <c r="D149" s="9"/>
      <c r="E149" s="9"/>
      <c r="F149" s="9"/>
      <c r="G149" s="9"/>
      <c r="H149" s="9">
        <f t="shared" si="18"/>
        <v>0</v>
      </c>
      <c r="I149" s="9">
        <f t="shared" si="19"/>
        <v>0</v>
      </c>
      <c r="J149" s="9" t="str">
        <f t="shared" si="20"/>
        <v/>
      </c>
      <c r="K149" s="9" t="str">
        <f t="shared" si="23"/>
        <v>-</v>
      </c>
      <c r="L149" s="52" t="str">
        <f>IFERROR(VLOOKUP(K149,MASTER!$C$25:$D$30,2,0),"")</f>
        <v/>
      </c>
      <c r="M149" s="4" t="str">
        <f t="shared" si="21"/>
        <v>0X0</v>
      </c>
      <c r="N149" s="62" t="str">
        <f t="shared" si="24"/>
        <v>0X0</v>
      </c>
      <c r="O149" s="4" t="str">
        <f t="shared" si="17"/>
        <v>0X0</v>
      </c>
      <c r="P149" s="5">
        <f t="shared" si="22"/>
        <v>0</v>
      </c>
      <c r="Q149" s="9"/>
      <c r="R149" s="9"/>
      <c r="S149" s="13"/>
      <c r="T149" s="13"/>
      <c r="U149" s="13"/>
      <c r="V149" s="5"/>
    </row>
    <row r="150" spans="1:22" ht="20.100000000000001" customHeight="1" x14ac:dyDescent="0.2">
      <c r="A150" s="21"/>
      <c r="B150" s="5"/>
      <c r="C150" s="5"/>
      <c r="D150" s="9"/>
      <c r="E150" s="9"/>
      <c r="F150" s="9"/>
      <c r="G150" s="9"/>
      <c r="H150" s="9">
        <f t="shared" si="18"/>
        <v>0</v>
      </c>
      <c r="I150" s="9">
        <f t="shared" si="19"/>
        <v>0</v>
      </c>
      <c r="J150" s="9" t="str">
        <f t="shared" si="20"/>
        <v/>
      </c>
      <c r="K150" s="9" t="str">
        <f t="shared" si="23"/>
        <v>-</v>
      </c>
      <c r="L150" s="52" t="str">
        <f>IFERROR(VLOOKUP(K150,MASTER!$C$25:$D$30,2,0),"")</f>
        <v/>
      </c>
      <c r="M150" s="4" t="str">
        <f t="shared" si="21"/>
        <v>0X0</v>
      </c>
      <c r="N150" s="62" t="str">
        <f t="shared" si="24"/>
        <v>0X0</v>
      </c>
      <c r="O150" s="4" t="str">
        <f t="shared" si="17"/>
        <v>0X0</v>
      </c>
      <c r="P150" s="5">
        <f t="shared" si="22"/>
        <v>0</v>
      </c>
      <c r="Q150" s="9"/>
      <c r="R150" s="9"/>
      <c r="S150" s="13"/>
      <c r="T150" s="13"/>
      <c r="U150" s="13"/>
      <c r="V150" s="5"/>
    </row>
    <row r="151" spans="1:22" ht="20.100000000000001" customHeight="1" x14ac:dyDescent="0.2">
      <c r="A151" s="21"/>
      <c r="B151" s="5"/>
      <c r="C151" s="5"/>
      <c r="D151" s="9"/>
      <c r="E151" s="9"/>
      <c r="F151" s="9"/>
      <c r="G151" s="9"/>
      <c r="H151" s="9">
        <f t="shared" si="18"/>
        <v>0</v>
      </c>
      <c r="I151" s="9">
        <f t="shared" si="19"/>
        <v>0</v>
      </c>
      <c r="J151" s="9" t="str">
        <f t="shared" si="20"/>
        <v/>
      </c>
      <c r="K151" s="9" t="str">
        <f t="shared" si="23"/>
        <v>-</v>
      </c>
      <c r="L151" s="52" t="str">
        <f>IFERROR(VLOOKUP(K151,MASTER!$C$25:$D$30,2,0),"")</f>
        <v/>
      </c>
      <c r="M151" s="4" t="str">
        <f t="shared" si="21"/>
        <v>0X0</v>
      </c>
      <c r="N151" s="62" t="str">
        <f t="shared" si="24"/>
        <v>0X0</v>
      </c>
      <c r="O151" s="4" t="str">
        <f t="shared" si="17"/>
        <v>0X0</v>
      </c>
      <c r="P151" s="5">
        <f t="shared" si="22"/>
        <v>0</v>
      </c>
      <c r="Q151" s="9"/>
      <c r="R151" s="9"/>
      <c r="S151" s="13"/>
      <c r="T151" s="13"/>
      <c r="U151" s="13"/>
      <c r="V151" s="5"/>
    </row>
    <row r="152" spans="1:22" ht="20.100000000000001" customHeight="1" x14ac:dyDescent="0.2">
      <c r="A152" s="21"/>
      <c r="B152" s="5"/>
      <c r="C152" s="5"/>
      <c r="D152" s="9"/>
      <c r="E152" s="9"/>
      <c r="F152" s="9"/>
      <c r="G152" s="9"/>
      <c r="H152" s="9">
        <f t="shared" si="18"/>
        <v>0</v>
      </c>
      <c r="I152" s="9">
        <f t="shared" si="19"/>
        <v>0</v>
      </c>
      <c r="J152" s="9" t="str">
        <f t="shared" si="20"/>
        <v/>
      </c>
      <c r="K152" s="9" t="str">
        <f t="shared" si="23"/>
        <v>-</v>
      </c>
      <c r="L152" s="52" t="str">
        <f>IFERROR(VLOOKUP(K152,MASTER!$C$25:$D$30,2,0),"")</f>
        <v/>
      </c>
      <c r="M152" s="4" t="str">
        <f t="shared" si="21"/>
        <v>0X0</v>
      </c>
      <c r="N152" s="62" t="str">
        <f t="shared" si="24"/>
        <v>0X0</v>
      </c>
      <c r="O152" s="4" t="str">
        <f t="shared" si="17"/>
        <v>0X0</v>
      </c>
      <c r="P152" s="5">
        <f t="shared" si="22"/>
        <v>0</v>
      </c>
      <c r="Q152" s="9"/>
      <c r="R152" s="9"/>
      <c r="S152" s="13"/>
      <c r="T152" s="13"/>
      <c r="U152" s="13"/>
      <c r="V152" s="5"/>
    </row>
    <row r="153" spans="1:22" ht="20.100000000000001" customHeight="1" x14ac:dyDescent="0.2">
      <c r="A153" s="21"/>
      <c r="B153" s="5"/>
      <c r="C153" s="5"/>
      <c r="D153" s="9"/>
      <c r="E153" s="9"/>
      <c r="F153" s="9"/>
      <c r="G153" s="9"/>
      <c r="H153" s="9">
        <f t="shared" si="18"/>
        <v>0</v>
      </c>
      <c r="I153" s="9">
        <f t="shared" si="19"/>
        <v>0</v>
      </c>
      <c r="J153" s="9" t="str">
        <f t="shared" si="20"/>
        <v/>
      </c>
      <c r="K153" s="9" t="str">
        <f t="shared" si="23"/>
        <v>-</v>
      </c>
      <c r="L153" s="52" t="str">
        <f>IFERROR(VLOOKUP(K153,MASTER!$C$25:$D$30,2,0),"")</f>
        <v/>
      </c>
      <c r="M153" s="4" t="str">
        <f t="shared" si="21"/>
        <v>0X0</v>
      </c>
      <c r="N153" s="62" t="str">
        <f t="shared" si="24"/>
        <v>0X0</v>
      </c>
      <c r="O153" s="4" t="str">
        <f t="shared" si="17"/>
        <v>0X0</v>
      </c>
      <c r="P153" s="5">
        <f t="shared" si="22"/>
        <v>0</v>
      </c>
      <c r="Q153" s="9"/>
      <c r="R153" s="9"/>
      <c r="S153" s="13"/>
      <c r="T153" s="13"/>
      <c r="U153" s="13"/>
      <c r="V153" s="5"/>
    </row>
    <row r="154" spans="1:22" ht="20.100000000000001" customHeight="1" x14ac:dyDescent="0.2">
      <c r="A154" s="21"/>
      <c r="B154" s="5"/>
      <c r="C154" s="5"/>
      <c r="D154" s="9"/>
      <c r="E154" s="9"/>
      <c r="F154" s="9"/>
      <c r="G154" s="9"/>
      <c r="H154" s="9">
        <f t="shared" si="18"/>
        <v>0</v>
      </c>
      <c r="I154" s="9">
        <f t="shared" si="19"/>
        <v>0</v>
      </c>
      <c r="J154" s="9" t="str">
        <f t="shared" si="20"/>
        <v/>
      </c>
      <c r="K154" s="9" t="str">
        <f t="shared" si="23"/>
        <v>-</v>
      </c>
      <c r="L154" s="52" t="str">
        <f>IFERROR(VLOOKUP(K154,MASTER!$C$25:$D$30,2,0),"")</f>
        <v/>
      </c>
      <c r="M154" s="4" t="str">
        <f t="shared" si="21"/>
        <v>0X0</v>
      </c>
      <c r="N154" s="62" t="str">
        <f t="shared" si="24"/>
        <v>0X0</v>
      </c>
      <c r="O154" s="4" t="str">
        <f t="shared" si="17"/>
        <v>0X0</v>
      </c>
      <c r="P154" s="5">
        <f t="shared" si="22"/>
        <v>0</v>
      </c>
      <c r="Q154" s="9"/>
      <c r="R154" s="9"/>
      <c r="S154" s="13"/>
      <c r="T154" s="13"/>
      <c r="U154" s="13"/>
      <c r="V154" s="5"/>
    </row>
    <row r="155" spans="1:22" ht="20.100000000000001" customHeight="1" x14ac:dyDescent="0.2">
      <c r="A155" s="21"/>
      <c r="B155" s="5"/>
      <c r="C155" s="5"/>
      <c r="D155" s="9"/>
      <c r="E155" s="9"/>
      <c r="F155" s="9"/>
      <c r="G155" s="9"/>
      <c r="H155" s="9">
        <f t="shared" si="18"/>
        <v>0</v>
      </c>
      <c r="I155" s="9">
        <f t="shared" si="19"/>
        <v>0</v>
      </c>
      <c r="J155" s="9" t="str">
        <f t="shared" si="20"/>
        <v/>
      </c>
      <c r="K155" s="9" t="str">
        <f t="shared" si="23"/>
        <v>-</v>
      </c>
      <c r="L155" s="52" t="str">
        <f>IFERROR(VLOOKUP(K155,MASTER!$C$25:$D$30,2,0),"")</f>
        <v/>
      </c>
      <c r="M155" s="4" t="str">
        <f t="shared" si="21"/>
        <v>0X0</v>
      </c>
      <c r="N155" s="62" t="str">
        <f t="shared" si="24"/>
        <v>0X0</v>
      </c>
      <c r="O155" s="4" t="str">
        <f t="shared" si="17"/>
        <v>0X0</v>
      </c>
      <c r="P155" s="5">
        <f t="shared" si="22"/>
        <v>0</v>
      </c>
      <c r="Q155" s="9"/>
      <c r="R155" s="9"/>
      <c r="S155" s="13"/>
      <c r="T155" s="13"/>
      <c r="U155" s="13"/>
      <c r="V155" s="5"/>
    </row>
    <row r="156" spans="1:22" ht="20.100000000000001" customHeight="1" x14ac:dyDescent="0.2">
      <c r="A156" s="21"/>
      <c r="B156" s="5"/>
      <c r="C156" s="5"/>
      <c r="D156" s="9"/>
      <c r="E156" s="9"/>
      <c r="F156" s="9"/>
      <c r="G156" s="9"/>
      <c r="H156" s="9">
        <f t="shared" si="18"/>
        <v>0</v>
      </c>
      <c r="I156" s="9">
        <f t="shared" si="19"/>
        <v>0</v>
      </c>
      <c r="J156" s="9" t="str">
        <f t="shared" si="20"/>
        <v/>
      </c>
      <c r="K156" s="9" t="str">
        <f t="shared" si="23"/>
        <v>-</v>
      </c>
      <c r="L156" s="52" t="str">
        <f>IFERROR(VLOOKUP(K156,MASTER!$C$25:$D$30,2,0),"")</f>
        <v/>
      </c>
      <c r="M156" s="4" t="str">
        <f t="shared" si="21"/>
        <v>0X0</v>
      </c>
      <c r="N156" s="62" t="str">
        <f t="shared" si="24"/>
        <v>0X0</v>
      </c>
      <c r="O156" s="4" t="str">
        <f t="shared" si="17"/>
        <v>0X0</v>
      </c>
      <c r="P156" s="5">
        <f t="shared" si="22"/>
        <v>0</v>
      </c>
      <c r="Q156" s="9"/>
      <c r="R156" s="9"/>
      <c r="S156" s="13"/>
      <c r="T156" s="13"/>
      <c r="U156" s="13"/>
      <c r="V156" s="5"/>
    </row>
    <row r="157" spans="1:22" ht="20.100000000000001" customHeight="1" x14ac:dyDescent="0.2">
      <c r="A157" s="21"/>
      <c r="B157" s="5"/>
      <c r="C157" s="5"/>
      <c r="D157" s="9"/>
      <c r="E157" s="9"/>
      <c r="F157" s="9"/>
      <c r="G157" s="9"/>
      <c r="H157" s="9">
        <f t="shared" si="18"/>
        <v>0</v>
      </c>
      <c r="I157" s="9">
        <f t="shared" si="19"/>
        <v>0</v>
      </c>
      <c r="J157" s="9" t="str">
        <f t="shared" si="20"/>
        <v/>
      </c>
      <c r="K157" s="9" t="str">
        <f t="shared" si="23"/>
        <v>-</v>
      </c>
      <c r="L157" s="52" t="str">
        <f>IFERROR(VLOOKUP(K157,MASTER!$C$25:$D$30,2,0),"")</f>
        <v/>
      </c>
      <c r="M157" s="4" t="str">
        <f t="shared" si="21"/>
        <v>0X0</v>
      </c>
      <c r="N157" s="62" t="str">
        <f t="shared" si="24"/>
        <v>0X0</v>
      </c>
      <c r="O157" s="4" t="str">
        <f t="shared" si="17"/>
        <v>0X0</v>
      </c>
      <c r="P157" s="5">
        <f t="shared" si="22"/>
        <v>0</v>
      </c>
      <c r="Q157" s="9"/>
      <c r="R157" s="9"/>
      <c r="S157" s="13"/>
      <c r="T157" s="13"/>
      <c r="U157" s="13"/>
      <c r="V157" s="5"/>
    </row>
    <row r="158" spans="1:22" ht="20.100000000000001" customHeight="1" x14ac:dyDescent="0.2">
      <c r="A158" s="21"/>
      <c r="B158" s="5"/>
      <c r="C158" s="5"/>
      <c r="D158" s="9"/>
      <c r="E158" s="9"/>
      <c r="F158" s="9"/>
      <c r="G158" s="9"/>
      <c r="H158" s="9">
        <f t="shared" si="18"/>
        <v>0</v>
      </c>
      <c r="I158" s="9">
        <f t="shared" si="19"/>
        <v>0</v>
      </c>
      <c r="J158" s="9" t="str">
        <f t="shared" si="20"/>
        <v/>
      </c>
      <c r="K158" s="9" t="str">
        <f t="shared" si="23"/>
        <v>-</v>
      </c>
      <c r="L158" s="52" t="str">
        <f>IFERROR(VLOOKUP(K158,MASTER!$C$25:$D$30,2,0),"")</f>
        <v/>
      </c>
      <c r="M158" s="4" t="str">
        <f t="shared" si="21"/>
        <v>0X0</v>
      </c>
      <c r="N158" s="62" t="str">
        <f t="shared" si="24"/>
        <v>0X0</v>
      </c>
      <c r="O158" s="4" t="str">
        <f t="shared" si="17"/>
        <v>0X0</v>
      </c>
      <c r="P158" s="5">
        <f t="shared" si="22"/>
        <v>0</v>
      </c>
      <c r="Q158" s="9"/>
      <c r="R158" s="9"/>
      <c r="S158" s="13"/>
      <c r="T158" s="13"/>
      <c r="U158" s="13"/>
      <c r="V158" s="5"/>
    </row>
    <row r="159" spans="1:22" ht="20.100000000000001" customHeight="1" x14ac:dyDescent="0.2">
      <c r="A159" s="21"/>
      <c r="B159" s="5"/>
      <c r="C159" s="5"/>
      <c r="D159" s="9"/>
      <c r="E159" s="9"/>
      <c r="F159" s="9"/>
      <c r="G159" s="9"/>
      <c r="H159" s="9">
        <f t="shared" si="18"/>
        <v>0</v>
      </c>
      <c r="I159" s="9">
        <f t="shared" si="19"/>
        <v>0</v>
      </c>
      <c r="J159" s="9" t="str">
        <f t="shared" si="20"/>
        <v/>
      </c>
      <c r="K159" s="9" t="str">
        <f t="shared" si="23"/>
        <v>-</v>
      </c>
      <c r="L159" s="52" t="str">
        <f>IFERROR(VLOOKUP(K159,MASTER!$C$25:$D$30,2,0),"")</f>
        <v/>
      </c>
      <c r="M159" s="4" t="str">
        <f t="shared" si="21"/>
        <v>0X0</v>
      </c>
      <c r="N159" s="62" t="str">
        <f t="shared" si="24"/>
        <v>0X0</v>
      </c>
      <c r="O159" s="4" t="str">
        <f t="shared" si="17"/>
        <v>0X0</v>
      </c>
      <c r="P159" s="5">
        <f t="shared" si="22"/>
        <v>0</v>
      </c>
      <c r="Q159" s="9"/>
      <c r="R159" s="9"/>
      <c r="S159" s="13"/>
      <c r="T159" s="13"/>
      <c r="U159" s="13"/>
      <c r="V159" s="5"/>
    </row>
    <row r="160" spans="1:22" ht="20.100000000000001" customHeight="1" x14ac:dyDescent="0.2">
      <c r="A160" s="21"/>
      <c r="B160" s="5"/>
      <c r="C160" s="5"/>
      <c r="D160" s="9"/>
      <c r="E160" s="9"/>
      <c r="F160" s="9"/>
      <c r="G160" s="9"/>
      <c r="H160" s="9">
        <f t="shared" si="18"/>
        <v>0</v>
      </c>
      <c r="I160" s="9">
        <f t="shared" si="19"/>
        <v>0</v>
      </c>
      <c r="J160" s="9" t="str">
        <f t="shared" si="20"/>
        <v/>
      </c>
      <c r="K160" s="9" t="str">
        <f t="shared" si="23"/>
        <v>-</v>
      </c>
      <c r="L160" s="52" t="str">
        <f>IFERROR(VLOOKUP(K160,MASTER!$C$25:$D$30,2,0),"")</f>
        <v/>
      </c>
      <c r="M160" s="4" t="str">
        <f t="shared" si="21"/>
        <v>0X0</v>
      </c>
      <c r="N160" s="62" t="str">
        <f t="shared" si="24"/>
        <v>0X0</v>
      </c>
      <c r="O160" s="4" t="str">
        <f t="shared" si="17"/>
        <v>0X0</v>
      </c>
      <c r="P160" s="5">
        <f t="shared" si="22"/>
        <v>0</v>
      </c>
      <c r="Q160" s="9"/>
      <c r="R160" s="9"/>
      <c r="S160" s="13"/>
      <c r="T160" s="13"/>
      <c r="U160" s="13"/>
      <c r="V160" s="5"/>
    </row>
    <row r="161" spans="1:22" ht="20.100000000000001" customHeight="1" x14ac:dyDescent="0.2">
      <c r="A161" s="21"/>
      <c r="B161" s="5"/>
      <c r="C161" s="5"/>
      <c r="D161" s="9"/>
      <c r="E161" s="9"/>
      <c r="F161" s="9"/>
      <c r="G161" s="9"/>
      <c r="H161" s="9">
        <f t="shared" si="18"/>
        <v>0</v>
      </c>
      <c r="I161" s="9">
        <f t="shared" si="19"/>
        <v>0</v>
      </c>
      <c r="J161" s="9" t="str">
        <f t="shared" si="20"/>
        <v/>
      </c>
      <c r="K161" s="9" t="str">
        <f t="shared" si="23"/>
        <v>-</v>
      </c>
      <c r="L161" s="52" t="str">
        <f>IFERROR(VLOOKUP(K161,MASTER!$C$25:$D$30,2,0),"")</f>
        <v/>
      </c>
      <c r="M161" s="4" t="str">
        <f t="shared" si="21"/>
        <v>0X0</v>
      </c>
      <c r="N161" s="62" t="str">
        <f t="shared" si="24"/>
        <v>0X0</v>
      </c>
      <c r="O161" s="4" t="str">
        <f t="shared" si="17"/>
        <v>0X0</v>
      </c>
      <c r="P161" s="5">
        <f t="shared" si="22"/>
        <v>0</v>
      </c>
      <c r="Q161" s="9"/>
      <c r="R161" s="9"/>
      <c r="S161" s="13"/>
      <c r="T161" s="13"/>
      <c r="U161" s="13"/>
      <c r="V161" s="5"/>
    </row>
    <row r="162" spans="1:22" ht="20.100000000000001" customHeight="1" x14ac:dyDescent="0.2">
      <c r="A162" s="21"/>
      <c r="B162" s="5"/>
      <c r="C162" s="5"/>
      <c r="D162" s="9"/>
      <c r="E162" s="9"/>
      <c r="F162" s="9"/>
      <c r="G162" s="9"/>
      <c r="H162" s="9">
        <f t="shared" si="18"/>
        <v>0</v>
      </c>
      <c r="I162" s="9">
        <f t="shared" si="19"/>
        <v>0</v>
      </c>
      <c r="J162" s="9" t="str">
        <f t="shared" si="20"/>
        <v/>
      </c>
      <c r="K162" s="9" t="str">
        <f t="shared" si="23"/>
        <v>-</v>
      </c>
      <c r="L162" s="52" t="str">
        <f>IFERROR(VLOOKUP(K162,MASTER!$C$25:$D$30,2,0),"")</f>
        <v/>
      </c>
      <c r="M162" s="4" t="str">
        <f t="shared" si="21"/>
        <v>0X0</v>
      </c>
      <c r="N162" s="62" t="str">
        <f t="shared" si="24"/>
        <v>0X0</v>
      </c>
      <c r="O162" s="4" t="str">
        <f t="shared" si="17"/>
        <v>0X0</v>
      </c>
      <c r="P162" s="5">
        <f t="shared" si="22"/>
        <v>0</v>
      </c>
      <c r="Q162" s="9"/>
      <c r="R162" s="9"/>
      <c r="S162" s="13"/>
      <c r="T162" s="13"/>
      <c r="U162" s="13"/>
      <c r="V162" s="5"/>
    </row>
    <row r="163" spans="1:22" ht="20.100000000000001" customHeight="1" x14ac:dyDescent="0.2">
      <c r="A163" s="21"/>
      <c r="B163" s="5"/>
      <c r="C163" s="5"/>
      <c r="D163" s="9"/>
      <c r="E163" s="9"/>
      <c r="F163" s="9"/>
      <c r="G163" s="9"/>
      <c r="H163" s="9">
        <f t="shared" si="18"/>
        <v>0</v>
      </c>
      <c r="I163" s="9">
        <f t="shared" si="19"/>
        <v>0</v>
      </c>
      <c r="J163" s="9" t="str">
        <f t="shared" si="20"/>
        <v/>
      </c>
      <c r="K163" s="9" t="str">
        <f t="shared" si="23"/>
        <v>-</v>
      </c>
      <c r="L163" s="52" t="str">
        <f>IFERROR(VLOOKUP(K163,MASTER!$C$25:$D$30,2,0),"")</f>
        <v/>
      </c>
      <c r="M163" s="4" t="str">
        <f t="shared" si="21"/>
        <v>0X0</v>
      </c>
      <c r="N163" s="62" t="str">
        <f t="shared" si="24"/>
        <v>0X0</v>
      </c>
      <c r="O163" s="4" t="str">
        <f t="shared" si="17"/>
        <v>0X0</v>
      </c>
      <c r="P163" s="5">
        <f t="shared" si="22"/>
        <v>0</v>
      </c>
      <c r="Q163" s="9"/>
      <c r="R163" s="9"/>
      <c r="S163" s="13"/>
      <c r="T163" s="13"/>
      <c r="U163" s="13"/>
      <c r="V163" s="5"/>
    </row>
    <row r="164" spans="1:22" ht="20.100000000000001" customHeight="1" x14ac:dyDescent="0.2">
      <c r="A164" s="21"/>
      <c r="B164" s="5"/>
      <c r="C164" s="5"/>
      <c r="D164" s="9"/>
      <c r="E164" s="9"/>
      <c r="F164" s="9"/>
      <c r="G164" s="9"/>
      <c r="H164" s="9">
        <f t="shared" si="18"/>
        <v>0</v>
      </c>
      <c r="I164" s="9">
        <f t="shared" si="19"/>
        <v>0</v>
      </c>
      <c r="J164" s="9" t="str">
        <f t="shared" si="20"/>
        <v/>
      </c>
      <c r="K164" s="9" t="str">
        <f t="shared" si="23"/>
        <v>-</v>
      </c>
      <c r="L164" s="52" t="str">
        <f>IFERROR(VLOOKUP(K164,MASTER!$C$25:$D$30,2,0),"")</f>
        <v/>
      </c>
      <c r="M164" s="4" t="str">
        <f t="shared" si="21"/>
        <v>0X0</v>
      </c>
      <c r="N164" s="62" t="str">
        <f t="shared" si="24"/>
        <v>0X0</v>
      </c>
      <c r="O164" s="4" t="str">
        <f t="shared" si="17"/>
        <v>0X0</v>
      </c>
      <c r="P164" s="5">
        <f t="shared" si="22"/>
        <v>0</v>
      </c>
      <c r="Q164" s="9"/>
      <c r="R164" s="9"/>
      <c r="S164" s="13"/>
      <c r="T164" s="13"/>
      <c r="U164" s="13"/>
      <c r="V164" s="5"/>
    </row>
    <row r="165" spans="1:22" ht="20.100000000000001" customHeight="1" x14ac:dyDescent="0.2">
      <c r="A165" s="21"/>
      <c r="B165" s="5"/>
      <c r="C165" s="5"/>
      <c r="D165" s="9"/>
      <c r="E165" s="9"/>
      <c r="F165" s="9"/>
      <c r="G165" s="9"/>
      <c r="H165" s="9">
        <f t="shared" si="18"/>
        <v>0</v>
      </c>
      <c r="I165" s="9">
        <f t="shared" si="19"/>
        <v>0</v>
      </c>
      <c r="J165" s="9" t="str">
        <f t="shared" si="20"/>
        <v/>
      </c>
      <c r="K165" s="9" t="str">
        <f t="shared" si="23"/>
        <v>-</v>
      </c>
      <c r="L165" s="52" t="str">
        <f>IFERROR(VLOOKUP(K165,MASTER!$C$25:$D$30,2,0),"")</f>
        <v/>
      </c>
      <c r="M165" s="4" t="str">
        <f t="shared" si="21"/>
        <v>0X0</v>
      </c>
      <c r="N165" s="62" t="str">
        <f t="shared" si="24"/>
        <v>0X0</v>
      </c>
      <c r="O165" s="4" t="str">
        <f t="shared" si="17"/>
        <v>0X0</v>
      </c>
      <c r="P165" s="5">
        <f t="shared" si="22"/>
        <v>0</v>
      </c>
      <c r="Q165" s="9"/>
      <c r="R165" s="9"/>
      <c r="S165" s="13"/>
      <c r="T165" s="13"/>
      <c r="U165" s="13"/>
      <c r="V165" s="5"/>
    </row>
    <row r="166" spans="1:22" ht="20.100000000000001" customHeight="1" x14ac:dyDescent="0.2">
      <c r="A166" s="21"/>
      <c r="B166" s="5"/>
      <c r="C166" s="5"/>
      <c r="D166" s="9"/>
      <c r="E166" s="9"/>
      <c r="F166" s="9"/>
      <c r="G166" s="9"/>
      <c r="H166" s="9">
        <f t="shared" si="18"/>
        <v>0</v>
      </c>
      <c r="I166" s="9">
        <f t="shared" si="19"/>
        <v>0</v>
      </c>
      <c r="J166" s="9" t="str">
        <f t="shared" si="20"/>
        <v/>
      </c>
      <c r="K166" s="9" t="str">
        <f t="shared" si="23"/>
        <v>-</v>
      </c>
      <c r="L166" s="52" t="str">
        <f>IFERROR(VLOOKUP(K166,MASTER!$C$25:$D$30,2,0),"")</f>
        <v/>
      </c>
      <c r="M166" s="4" t="str">
        <f t="shared" si="21"/>
        <v>0X0</v>
      </c>
      <c r="N166" s="62" t="str">
        <f t="shared" si="24"/>
        <v>0X0</v>
      </c>
      <c r="O166" s="4" t="str">
        <f t="shared" si="17"/>
        <v>0X0</v>
      </c>
      <c r="P166" s="5">
        <f t="shared" si="22"/>
        <v>0</v>
      </c>
      <c r="Q166" s="9"/>
      <c r="R166" s="9"/>
      <c r="S166" s="13"/>
      <c r="T166" s="13"/>
      <c r="U166" s="13"/>
      <c r="V166" s="5"/>
    </row>
    <row r="167" spans="1:22" ht="20.100000000000001" customHeight="1" x14ac:dyDescent="0.2">
      <c r="A167" s="21"/>
      <c r="B167" s="5"/>
      <c r="C167" s="5"/>
      <c r="D167" s="9"/>
      <c r="E167" s="9"/>
      <c r="F167" s="9"/>
      <c r="G167" s="9"/>
      <c r="H167" s="9">
        <f t="shared" si="18"/>
        <v>0</v>
      </c>
      <c r="I167" s="9">
        <f t="shared" si="19"/>
        <v>0</v>
      </c>
      <c r="J167" s="9" t="str">
        <f t="shared" si="20"/>
        <v/>
      </c>
      <c r="K167" s="9" t="str">
        <f t="shared" si="23"/>
        <v>-</v>
      </c>
      <c r="L167" s="52" t="str">
        <f>IFERROR(VLOOKUP(K167,MASTER!$C$25:$D$30,2,0),"")</f>
        <v/>
      </c>
      <c r="M167" s="4" t="str">
        <f t="shared" si="21"/>
        <v>0X0</v>
      </c>
      <c r="N167" s="62" t="str">
        <f t="shared" si="24"/>
        <v>0X0</v>
      </c>
      <c r="O167" s="4" t="str">
        <f t="shared" si="17"/>
        <v>0X0</v>
      </c>
      <c r="P167" s="5">
        <f t="shared" si="22"/>
        <v>0</v>
      </c>
      <c r="Q167" s="9"/>
      <c r="R167" s="9"/>
      <c r="S167" s="13"/>
      <c r="T167" s="13"/>
      <c r="U167" s="13"/>
      <c r="V167" s="5"/>
    </row>
    <row r="168" spans="1:22" ht="20.100000000000001" customHeight="1" x14ac:dyDescent="0.2">
      <c r="A168" s="21"/>
      <c r="B168" s="5"/>
      <c r="C168" s="5"/>
      <c r="D168" s="9"/>
      <c r="E168" s="9"/>
      <c r="F168" s="9"/>
      <c r="G168" s="9"/>
      <c r="H168" s="9">
        <f t="shared" si="18"/>
        <v>0</v>
      </c>
      <c r="I168" s="9">
        <f t="shared" si="19"/>
        <v>0</v>
      </c>
      <c r="J168" s="9" t="str">
        <f t="shared" si="20"/>
        <v/>
      </c>
      <c r="K168" s="9" t="str">
        <f t="shared" si="23"/>
        <v>-</v>
      </c>
      <c r="L168" s="52" t="str">
        <f>IFERROR(VLOOKUP(K168,MASTER!$C$25:$D$30,2,0),"")</f>
        <v/>
      </c>
      <c r="M168" s="4" t="str">
        <f t="shared" si="21"/>
        <v>0X0</v>
      </c>
      <c r="N168" s="62" t="str">
        <f t="shared" si="24"/>
        <v>0X0</v>
      </c>
      <c r="O168" s="4" t="str">
        <f t="shared" si="17"/>
        <v>0X0</v>
      </c>
      <c r="P168" s="5">
        <f t="shared" si="22"/>
        <v>0</v>
      </c>
      <c r="Q168" s="9"/>
      <c r="R168" s="9"/>
      <c r="S168" s="13"/>
      <c r="T168" s="13"/>
      <c r="U168" s="13"/>
      <c r="V168" s="5"/>
    </row>
    <row r="169" spans="1:22" ht="20.100000000000001" customHeight="1" x14ac:dyDescent="0.2">
      <c r="A169" s="21"/>
      <c r="B169" s="5"/>
      <c r="C169" s="5"/>
      <c r="D169" s="9"/>
      <c r="E169" s="9"/>
      <c r="F169" s="9"/>
      <c r="G169" s="9"/>
      <c r="H169" s="9">
        <f t="shared" si="18"/>
        <v>0</v>
      </c>
      <c r="I169" s="9">
        <f t="shared" si="19"/>
        <v>0</v>
      </c>
      <c r="J169" s="9" t="str">
        <f t="shared" si="20"/>
        <v/>
      </c>
      <c r="K169" s="9" t="str">
        <f t="shared" si="23"/>
        <v>-</v>
      </c>
      <c r="L169" s="52" t="str">
        <f>IFERROR(VLOOKUP(K169,MASTER!$C$25:$D$30,2,0),"")</f>
        <v/>
      </c>
      <c r="M169" s="4" t="str">
        <f t="shared" si="21"/>
        <v>0X0</v>
      </c>
      <c r="N169" s="62" t="str">
        <f t="shared" si="24"/>
        <v>0X0</v>
      </c>
      <c r="O169" s="4" t="str">
        <f t="shared" si="17"/>
        <v>0X0</v>
      </c>
      <c r="P169" s="5">
        <f t="shared" si="22"/>
        <v>0</v>
      </c>
      <c r="Q169" s="9"/>
      <c r="R169" s="9"/>
      <c r="S169" s="13"/>
      <c r="T169" s="13"/>
      <c r="U169" s="13"/>
      <c r="V169" s="5"/>
    </row>
    <row r="170" spans="1:22" ht="20.100000000000001" customHeight="1" x14ac:dyDescent="0.2">
      <c r="A170" s="21"/>
      <c r="B170" s="5"/>
      <c r="C170" s="5"/>
      <c r="D170" s="9"/>
      <c r="E170" s="9"/>
      <c r="F170" s="9"/>
      <c r="G170" s="9"/>
      <c r="H170" s="9">
        <f t="shared" si="18"/>
        <v>0</v>
      </c>
      <c r="I170" s="9">
        <f t="shared" si="19"/>
        <v>0</v>
      </c>
      <c r="J170" s="9" t="str">
        <f t="shared" si="20"/>
        <v/>
      </c>
      <c r="K170" s="9" t="str">
        <f t="shared" si="23"/>
        <v>-</v>
      </c>
      <c r="L170" s="52" t="str">
        <f>IFERROR(VLOOKUP(K170,MASTER!$C$25:$D$30,2,0),"")</f>
        <v/>
      </c>
      <c r="M170" s="4" t="str">
        <f t="shared" si="21"/>
        <v>0X0</v>
      </c>
      <c r="N170" s="62" t="str">
        <f t="shared" si="24"/>
        <v>0X0</v>
      </c>
      <c r="O170" s="4" t="str">
        <f t="shared" si="17"/>
        <v>0X0</v>
      </c>
      <c r="P170" s="5">
        <f t="shared" si="22"/>
        <v>0</v>
      </c>
      <c r="Q170" s="9"/>
      <c r="R170" s="9"/>
      <c r="S170" s="13"/>
      <c r="T170" s="13"/>
      <c r="U170" s="13"/>
      <c r="V170" s="5"/>
    </row>
    <row r="171" spans="1:22" ht="20.100000000000001" customHeight="1" x14ac:dyDescent="0.2">
      <c r="A171" s="21"/>
      <c r="B171" s="5"/>
      <c r="C171" s="5"/>
      <c r="D171" s="9"/>
      <c r="E171" s="9"/>
      <c r="F171" s="9"/>
      <c r="G171" s="9"/>
      <c r="H171" s="9">
        <f t="shared" si="18"/>
        <v>0</v>
      </c>
      <c r="I171" s="9">
        <f t="shared" si="19"/>
        <v>0</v>
      </c>
      <c r="J171" s="9" t="str">
        <f t="shared" si="20"/>
        <v/>
      </c>
      <c r="K171" s="9" t="str">
        <f t="shared" si="23"/>
        <v>-</v>
      </c>
      <c r="L171" s="52" t="str">
        <f>IFERROR(VLOOKUP(K171,MASTER!$C$25:$D$30,2,0),"")</f>
        <v/>
      </c>
      <c r="M171" s="4" t="str">
        <f t="shared" si="21"/>
        <v>0X0</v>
      </c>
      <c r="N171" s="62" t="str">
        <f t="shared" si="24"/>
        <v>0X0</v>
      </c>
      <c r="O171" s="4" t="str">
        <f t="shared" si="17"/>
        <v>0X0</v>
      </c>
      <c r="P171" s="5">
        <f t="shared" si="22"/>
        <v>0</v>
      </c>
      <c r="Q171" s="9"/>
      <c r="R171" s="9"/>
      <c r="S171" s="13"/>
      <c r="T171" s="13"/>
      <c r="U171" s="13"/>
      <c r="V171" s="5"/>
    </row>
    <row r="172" spans="1:22" ht="20.100000000000001" customHeight="1" x14ac:dyDescent="0.2">
      <c r="A172" s="21"/>
      <c r="B172" s="5"/>
      <c r="C172" s="5"/>
      <c r="D172" s="9"/>
      <c r="E172" s="9"/>
      <c r="F172" s="9"/>
      <c r="G172" s="9"/>
      <c r="H172" s="9">
        <f t="shared" si="18"/>
        <v>0</v>
      </c>
      <c r="I172" s="9">
        <f t="shared" si="19"/>
        <v>0</v>
      </c>
      <c r="J172" s="9" t="str">
        <f t="shared" si="20"/>
        <v/>
      </c>
      <c r="K172" s="9" t="str">
        <f t="shared" si="23"/>
        <v>-</v>
      </c>
      <c r="L172" s="52" t="str">
        <f>IFERROR(VLOOKUP(K172,MASTER!$C$25:$D$30,2,0),"")</f>
        <v/>
      </c>
      <c r="M172" s="4" t="str">
        <f t="shared" si="21"/>
        <v>0X0</v>
      </c>
      <c r="N172" s="62" t="str">
        <f t="shared" si="24"/>
        <v>0X0</v>
      </c>
      <c r="O172" s="4" t="str">
        <f t="shared" si="17"/>
        <v>0X0</v>
      </c>
      <c r="P172" s="5">
        <f t="shared" si="22"/>
        <v>0</v>
      </c>
      <c r="Q172" s="9"/>
      <c r="R172" s="9"/>
      <c r="S172" s="13"/>
      <c r="T172" s="13"/>
      <c r="U172" s="13"/>
      <c r="V172" s="5"/>
    </row>
    <row r="173" spans="1:22" ht="20.100000000000001" customHeight="1" x14ac:dyDescent="0.2">
      <c r="A173" s="21"/>
      <c r="B173" s="5"/>
      <c r="C173" s="5"/>
      <c r="D173" s="9"/>
      <c r="E173" s="9"/>
      <c r="F173" s="9"/>
      <c r="G173" s="9"/>
      <c r="H173" s="9">
        <f t="shared" si="18"/>
        <v>0</v>
      </c>
      <c r="I173" s="9">
        <f t="shared" si="19"/>
        <v>0</v>
      </c>
      <c r="J173" s="9" t="str">
        <f t="shared" si="20"/>
        <v/>
      </c>
      <c r="K173" s="9" t="str">
        <f t="shared" si="23"/>
        <v>-</v>
      </c>
      <c r="L173" s="52" t="str">
        <f>IFERROR(VLOOKUP(K173,MASTER!$C$25:$D$30,2,0),"")</f>
        <v/>
      </c>
      <c r="M173" s="4" t="str">
        <f t="shared" si="21"/>
        <v>0X0</v>
      </c>
      <c r="N173" s="62" t="str">
        <f t="shared" si="24"/>
        <v>0X0</v>
      </c>
      <c r="O173" s="4" t="str">
        <f t="shared" si="17"/>
        <v>0X0</v>
      </c>
      <c r="P173" s="5">
        <f t="shared" si="22"/>
        <v>0</v>
      </c>
      <c r="Q173" s="9"/>
      <c r="R173" s="9"/>
      <c r="S173" s="13"/>
      <c r="T173" s="13"/>
      <c r="U173" s="13"/>
      <c r="V173" s="5"/>
    </row>
    <row r="174" spans="1:22" ht="20.100000000000001" customHeight="1" x14ac:dyDescent="0.2">
      <c r="A174" s="21"/>
      <c r="B174" s="5"/>
      <c r="C174" s="5"/>
      <c r="D174" s="9"/>
      <c r="E174" s="9"/>
      <c r="F174" s="9"/>
      <c r="G174" s="9"/>
      <c r="H174" s="9">
        <f t="shared" si="18"/>
        <v>0</v>
      </c>
      <c r="I174" s="9">
        <f t="shared" si="19"/>
        <v>0</v>
      </c>
      <c r="J174" s="9" t="str">
        <f t="shared" si="20"/>
        <v/>
      </c>
      <c r="K174" s="9" t="str">
        <f t="shared" si="23"/>
        <v>-</v>
      </c>
      <c r="L174" s="52" t="str">
        <f>IFERROR(VLOOKUP(K174,MASTER!$C$25:$D$30,2,0),"")</f>
        <v/>
      </c>
      <c r="M174" s="4" t="str">
        <f t="shared" si="21"/>
        <v>0X0</v>
      </c>
      <c r="N174" s="62" t="str">
        <f t="shared" si="24"/>
        <v>0X0</v>
      </c>
      <c r="O174" s="4" t="str">
        <f t="shared" si="17"/>
        <v>0X0</v>
      </c>
      <c r="P174" s="5">
        <f t="shared" si="22"/>
        <v>0</v>
      </c>
      <c r="Q174" s="9"/>
      <c r="R174" s="9"/>
      <c r="S174" s="13"/>
      <c r="T174" s="13"/>
      <c r="U174" s="13"/>
      <c r="V174" s="5"/>
    </row>
    <row r="175" spans="1:22" ht="20.100000000000001" customHeight="1" x14ac:dyDescent="0.2">
      <c r="A175" s="21"/>
      <c r="B175" s="5"/>
      <c r="C175" s="5"/>
      <c r="D175" s="9"/>
      <c r="E175" s="9"/>
      <c r="F175" s="9"/>
      <c r="G175" s="9"/>
      <c r="H175" s="9">
        <f t="shared" si="18"/>
        <v>0</v>
      </c>
      <c r="I175" s="9">
        <f t="shared" si="19"/>
        <v>0</v>
      </c>
      <c r="J175" s="9" t="str">
        <f t="shared" si="20"/>
        <v/>
      </c>
      <c r="K175" s="9" t="str">
        <f t="shared" si="23"/>
        <v>-</v>
      </c>
      <c r="L175" s="52" t="str">
        <f>IFERROR(VLOOKUP(K175,MASTER!$C$25:$D$30,2,0),"")</f>
        <v/>
      </c>
      <c r="M175" s="4" t="str">
        <f t="shared" si="21"/>
        <v>0X0</v>
      </c>
      <c r="N175" s="62" t="str">
        <f t="shared" si="24"/>
        <v>0X0</v>
      </c>
      <c r="O175" s="4" t="str">
        <f t="shared" si="17"/>
        <v>0X0</v>
      </c>
      <c r="P175" s="5">
        <f t="shared" si="22"/>
        <v>0</v>
      </c>
      <c r="Q175" s="9"/>
      <c r="R175" s="9"/>
      <c r="S175" s="13"/>
      <c r="T175" s="13"/>
      <c r="U175" s="13"/>
      <c r="V175" s="5"/>
    </row>
    <row r="176" spans="1:22" ht="20.100000000000001" customHeight="1" x14ac:dyDescent="0.2">
      <c r="A176" s="21"/>
      <c r="B176" s="5"/>
      <c r="C176" s="5"/>
      <c r="D176" s="9"/>
      <c r="E176" s="9"/>
      <c r="F176" s="9"/>
      <c r="G176" s="9"/>
      <c r="H176" s="9">
        <f t="shared" si="18"/>
        <v>0</v>
      </c>
      <c r="I176" s="9">
        <f t="shared" si="19"/>
        <v>0</v>
      </c>
      <c r="J176" s="9" t="str">
        <f t="shared" si="20"/>
        <v/>
      </c>
      <c r="K176" s="9" t="str">
        <f t="shared" si="23"/>
        <v>-</v>
      </c>
      <c r="L176" s="52" t="str">
        <f>IFERROR(VLOOKUP(K176,MASTER!$C$25:$D$30,2,0),"")</f>
        <v/>
      </c>
      <c r="M176" s="4" t="str">
        <f t="shared" si="21"/>
        <v>0X0</v>
      </c>
      <c r="N176" s="62" t="str">
        <f t="shared" si="24"/>
        <v>0X0</v>
      </c>
      <c r="O176" s="4" t="str">
        <f t="shared" si="17"/>
        <v>0X0</v>
      </c>
      <c r="P176" s="5">
        <f t="shared" si="22"/>
        <v>0</v>
      </c>
      <c r="Q176" s="9"/>
      <c r="R176" s="9"/>
      <c r="S176" s="13"/>
      <c r="T176" s="13"/>
      <c r="U176" s="13"/>
      <c r="V176" s="5"/>
    </row>
    <row r="177" spans="1:22" ht="20.100000000000001" customHeight="1" x14ac:dyDescent="0.2">
      <c r="A177" s="21"/>
      <c r="B177" s="5"/>
      <c r="C177" s="5"/>
      <c r="D177" s="9"/>
      <c r="E177" s="9"/>
      <c r="F177" s="9"/>
      <c r="G177" s="9"/>
      <c r="H177" s="9">
        <f t="shared" si="18"/>
        <v>0</v>
      </c>
      <c r="I177" s="9">
        <f t="shared" si="19"/>
        <v>0</v>
      </c>
      <c r="J177" s="9" t="str">
        <f t="shared" si="20"/>
        <v/>
      </c>
      <c r="K177" s="9" t="str">
        <f t="shared" si="23"/>
        <v>-</v>
      </c>
      <c r="L177" s="52" t="str">
        <f>IFERROR(VLOOKUP(K177,MASTER!$C$25:$D$30,2,0),"")</f>
        <v/>
      </c>
      <c r="M177" s="4" t="str">
        <f t="shared" si="21"/>
        <v>0X0</v>
      </c>
      <c r="N177" s="62" t="str">
        <f t="shared" si="24"/>
        <v>0X0</v>
      </c>
      <c r="O177" s="4" t="str">
        <f t="shared" si="17"/>
        <v>0X0</v>
      </c>
      <c r="P177" s="5">
        <f t="shared" si="22"/>
        <v>0</v>
      </c>
      <c r="Q177" s="9"/>
      <c r="R177" s="9"/>
      <c r="S177" s="13"/>
      <c r="T177" s="13"/>
      <c r="U177" s="13"/>
      <c r="V177" s="5"/>
    </row>
    <row r="178" spans="1:22" ht="20.100000000000001" customHeight="1" x14ac:dyDescent="0.2">
      <c r="A178" s="21"/>
      <c r="B178" s="5"/>
      <c r="C178" s="5"/>
      <c r="D178" s="9"/>
      <c r="E178" s="9"/>
      <c r="F178" s="9"/>
      <c r="G178" s="9"/>
      <c r="H178" s="9">
        <f t="shared" si="18"/>
        <v>0</v>
      </c>
      <c r="I178" s="9">
        <f t="shared" si="19"/>
        <v>0</v>
      </c>
      <c r="J178" s="9" t="str">
        <f t="shared" si="20"/>
        <v/>
      </c>
      <c r="K178" s="9" t="str">
        <f t="shared" si="23"/>
        <v>-</v>
      </c>
      <c r="L178" s="52" t="str">
        <f>IFERROR(VLOOKUP(K178,MASTER!$C$25:$D$30,2,0),"")</f>
        <v/>
      </c>
      <c r="M178" s="4" t="str">
        <f t="shared" si="21"/>
        <v>0X0</v>
      </c>
      <c r="N178" s="62" t="str">
        <f t="shared" si="24"/>
        <v>0X0</v>
      </c>
      <c r="O178" s="4" t="str">
        <f t="shared" si="17"/>
        <v>0X0</v>
      </c>
      <c r="P178" s="5">
        <f t="shared" si="22"/>
        <v>0</v>
      </c>
      <c r="Q178" s="9"/>
      <c r="R178" s="9"/>
      <c r="S178" s="13"/>
      <c r="T178" s="13"/>
      <c r="U178" s="13"/>
      <c r="V178" s="5"/>
    </row>
    <row r="179" spans="1:22" ht="20.100000000000001" customHeight="1" x14ac:dyDescent="0.2">
      <c r="A179" s="21"/>
      <c r="B179" s="5"/>
      <c r="C179" s="5"/>
      <c r="D179" s="9"/>
      <c r="E179" s="9"/>
      <c r="F179" s="9"/>
      <c r="G179" s="9"/>
      <c r="H179" s="9">
        <f t="shared" si="18"/>
        <v>0</v>
      </c>
      <c r="I179" s="9">
        <f t="shared" si="19"/>
        <v>0</v>
      </c>
      <c r="J179" s="9" t="str">
        <f t="shared" si="20"/>
        <v/>
      </c>
      <c r="K179" s="9" t="str">
        <f t="shared" si="23"/>
        <v>-</v>
      </c>
      <c r="L179" s="52" t="str">
        <f>IFERROR(VLOOKUP(K179,MASTER!$C$25:$D$30,2,0),"")</f>
        <v/>
      </c>
      <c r="M179" s="4" t="str">
        <f t="shared" si="21"/>
        <v>0X0</v>
      </c>
      <c r="N179" s="62" t="str">
        <f t="shared" si="24"/>
        <v>0X0</v>
      </c>
      <c r="O179" s="4" t="str">
        <f t="shared" si="17"/>
        <v>0X0</v>
      </c>
      <c r="P179" s="5">
        <f t="shared" si="22"/>
        <v>0</v>
      </c>
      <c r="Q179" s="9"/>
      <c r="R179" s="9"/>
      <c r="S179" s="13"/>
      <c r="T179" s="13"/>
      <c r="U179" s="13"/>
      <c r="V179" s="5"/>
    </row>
    <row r="180" spans="1:22" ht="20.100000000000001" customHeight="1" x14ac:dyDescent="0.2">
      <c r="A180" s="21"/>
      <c r="B180" s="5"/>
      <c r="C180" s="5"/>
      <c r="D180" s="9"/>
      <c r="E180" s="9"/>
      <c r="F180" s="9"/>
      <c r="G180" s="9"/>
      <c r="H180" s="9">
        <f t="shared" si="18"/>
        <v>0</v>
      </c>
      <c r="I180" s="9">
        <f t="shared" si="19"/>
        <v>0</v>
      </c>
      <c r="J180" s="9" t="str">
        <f t="shared" si="20"/>
        <v/>
      </c>
      <c r="K180" s="9" t="str">
        <f t="shared" si="23"/>
        <v>-</v>
      </c>
      <c r="L180" s="52" t="str">
        <f>IFERROR(VLOOKUP(K180,MASTER!$C$25:$D$30,2,0),"")</f>
        <v/>
      </c>
      <c r="M180" s="4" t="str">
        <f t="shared" si="21"/>
        <v>0X0</v>
      </c>
      <c r="N180" s="62" t="str">
        <f t="shared" si="24"/>
        <v>0X0</v>
      </c>
      <c r="O180" s="4" t="str">
        <f t="shared" si="17"/>
        <v>0X0</v>
      </c>
      <c r="P180" s="5">
        <f t="shared" si="22"/>
        <v>0</v>
      </c>
      <c r="Q180" s="9"/>
      <c r="R180" s="9"/>
      <c r="S180" s="13"/>
      <c r="T180" s="13"/>
      <c r="U180" s="13"/>
      <c r="V180" s="5"/>
    </row>
    <row r="181" spans="1:22" ht="20.100000000000001" customHeight="1" x14ac:dyDescent="0.2">
      <c r="A181" s="21"/>
      <c r="B181" s="5"/>
      <c r="C181" s="5"/>
      <c r="D181" s="9"/>
      <c r="E181" s="9"/>
      <c r="F181" s="9"/>
      <c r="G181" s="9"/>
      <c r="H181" s="9">
        <f t="shared" si="18"/>
        <v>0</v>
      </c>
      <c r="I181" s="9">
        <f t="shared" si="19"/>
        <v>0</v>
      </c>
      <c r="J181" s="9" t="str">
        <f t="shared" si="20"/>
        <v/>
      </c>
      <c r="K181" s="9" t="str">
        <f t="shared" si="23"/>
        <v>-</v>
      </c>
      <c r="L181" s="52" t="str">
        <f>IFERROR(VLOOKUP(K181,MASTER!$C$25:$D$30,2,0),"")</f>
        <v/>
      </c>
      <c r="M181" s="4" t="str">
        <f t="shared" si="21"/>
        <v>0X0</v>
      </c>
      <c r="N181" s="62" t="str">
        <f t="shared" si="24"/>
        <v>0X0</v>
      </c>
      <c r="O181" s="4" t="str">
        <f t="shared" si="17"/>
        <v>0X0</v>
      </c>
      <c r="P181" s="5">
        <f t="shared" si="22"/>
        <v>0</v>
      </c>
      <c r="Q181" s="9"/>
      <c r="R181" s="9"/>
      <c r="S181" s="13"/>
      <c r="T181" s="13"/>
      <c r="U181" s="13"/>
      <c r="V181" s="5"/>
    </row>
    <row r="182" spans="1:22" ht="20.100000000000001" customHeight="1" x14ac:dyDescent="0.2">
      <c r="A182" s="21"/>
      <c r="B182" s="5"/>
      <c r="C182" s="5"/>
      <c r="D182" s="9"/>
      <c r="E182" s="9"/>
      <c r="F182" s="9"/>
      <c r="G182" s="9"/>
      <c r="H182" s="9">
        <f t="shared" si="18"/>
        <v>0</v>
      </c>
      <c r="I182" s="9">
        <f t="shared" si="19"/>
        <v>0</v>
      </c>
      <c r="J182" s="9" t="str">
        <f t="shared" si="20"/>
        <v/>
      </c>
      <c r="K182" s="9" t="str">
        <f t="shared" si="23"/>
        <v>-</v>
      </c>
      <c r="L182" s="52" t="str">
        <f>IFERROR(VLOOKUP(K182,MASTER!$C$25:$D$30,2,0),"")</f>
        <v/>
      </c>
      <c r="M182" s="4" t="str">
        <f t="shared" si="21"/>
        <v>0X0</v>
      </c>
      <c r="N182" s="62" t="str">
        <f t="shared" si="24"/>
        <v>0X0</v>
      </c>
      <c r="O182" s="4" t="str">
        <f t="shared" si="17"/>
        <v>0X0</v>
      </c>
      <c r="P182" s="5">
        <f t="shared" si="22"/>
        <v>0</v>
      </c>
      <c r="Q182" s="9"/>
      <c r="R182" s="9"/>
      <c r="S182" s="13"/>
      <c r="T182" s="13"/>
      <c r="U182" s="13"/>
      <c r="V182" s="5"/>
    </row>
    <row r="183" spans="1:22" ht="20.100000000000001" customHeight="1" x14ac:dyDescent="0.2">
      <c r="A183" s="21"/>
      <c r="B183" s="5"/>
      <c r="C183" s="5"/>
      <c r="D183" s="9"/>
      <c r="E183" s="9"/>
      <c r="F183" s="9"/>
      <c r="G183" s="9"/>
      <c r="H183" s="9">
        <f t="shared" si="18"/>
        <v>0</v>
      </c>
      <c r="I183" s="9">
        <f t="shared" si="19"/>
        <v>0</v>
      </c>
      <c r="J183" s="9" t="str">
        <f t="shared" si="20"/>
        <v/>
      </c>
      <c r="K183" s="9" t="str">
        <f t="shared" si="23"/>
        <v>-</v>
      </c>
      <c r="L183" s="52" t="str">
        <f>IFERROR(VLOOKUP(K183,MASTER!$C$25:$D$30,2,0),"")</f>
        <v/>
      </c>
      <c r="M183" s="4" t="str">
        <f t="shared" si="21"/>
        <v>0X0</v>
      </c>
      <c r="N183" s="62" t="str">
        <f t="shared" si="24"/>
        <v>0X0</v>
      </c>
      <c r="O183" s="4" t="str">
        <f t="shared" si="17"/>
        <v>0X0</v>
      </c>
      <c r="P183" s="5">
        <f t="shared" si="22"/>
        <v>0</v>
      </c>
      <c r="Q183" s="9"/>
      <c r="R183" s="9"/>
      <c r="S183" s="13"/>
      <c r="T183" s="13"/>
      <c r="U183" s="13"/>
      <c r="V183" s="5"/>
    </row>
    <row r="184" spans="1:22" ht="20.100000000000001" customHeight="1" x14ac:dyDescent="0.2">
      <c r="A184" s="21"/>
      <c r="B184" s="5"/>
      <c r="C184" s="5"/>
      <c r="D184" s="9"/>
      <c r="E184" s="9"/>
      <c r="F184" s="9"/>
      <c r="G184" s="9"/>
      <c r="H184" s="9">
        <f t="shared" si="18"/>
        <v>0</v>
      </c>
      <c r="I184" s="9">
        <f t="shared" si="19"/>
        <v>0</v>
      </c>
      <c r="J184" s="9" t="str">
        <f t="shared" si="20"/>
        <v/>
      </c>
      <c r="K184" s="9" t="str">
        <f t="shared" si="23"/>
        <v>-</v>
      </c>
      <c r="L184" s="52" t="str">
        <f>IFERROR(VLOOKUP(K184,MASTER!$C$25:$D$30,2,0),"")</f>
        <v/>
      </c>
      <c r="M184" s="4" t="str">
        <f t="shared" si="21"/>
        <v>0X0</v>
      </c>
      <c r="N184" s="62" t="str">
        <f t="shared" si="24"/>
        <v>0X0</v>
      </c>
      <c r="O184" s="4" t="str">
        <f t="shared" si="17"/>
        <v>0X0</v>
      </c>
      <c r="P184" s="5">
        <f t="shared" si="22"/>
        <v>0</v>
      </c>
      <c r="Q184" s="9"/>
      <c r="R184" s="9"/>
      <c r="S184" s="13"/>
      <c r="T184" s="13"/>
      <c r="U184" s="13"/>
      <c r="V184" s="5"/>
    </row>
    <row r="185" spans="1:22" ht="20.100000000000001" customHeight="1" x14ac:dyDescent="0.2">
      <c r="A185" s="21"/>
      <c r="B185" s="5"/>
      <c r="C185" s="5"/>
      <c r="D185" s="9"/>
      <c r="E185" s="9"/>
      <c r="F185" s="9"/>
      <c r="G185" s="9"/>
      <c r="H185" s="9">
        <f t="shared" si="18"/>
        <v>0</v>
      </c>
      <c r="I185" s="9">
        <f t="shared" si="19"/>
        <v>0</v>
      </c>
      <c r="J185" s="9" t="str">
        <f t="shared" si="20"/>
        <v/>
      </c>
      <c r="K185" s="9" t="str">
        <f t="shared" si="23"/>
        <v>-</v>
      </c>
      <c r="L185" s="52" t="str">
        <f>IFERROR(VLOOKUP(K185,MASTER!$C$25:$D$30,2,0),"")</f>
        <v/>
      </c>
      <c r="M185" s="4" t="str">
        <f t="shared" si="21"/>
        <v>0X0</v>
      </c>
      <c r="N185" s="62" t="str">
        <f t="shared" si="24"/>
        <v>0X0</v>
      </c>
      <c r="O185" s="4" t="str">
        <f t="shared" si="17"/>
        <v>0X0</v>
      </c>
      <c r="P185" s="5">
        <f t="shared" si="22"/>
        <v>0</v>
      </c>
      <c r="Q185" s="9"/>
      <c r="R185" s="9"/>
      <c r="S185" s="13"/>
      <c r="T185" s="13"/>
      <c r="U185" s="13"/>
      <c r="V185" s="5"/>
    </row>
    <row r="186" spans="1:22" ht="20.100000000000001" customHeight="1" x14ac:dyDescent="0.2">
      <c r="A186" s="21"/>
      <c r="B186" s="5"/>
      <c r="C186" s="5"/>
      <c r="D186" s="9"/>
      <c r="E186" s="9"/>
      <c r="F186" s="9"/>
      <c r="G186" s="9"/>
      <c r="H186" s="9">
        <f t="shared" si="18"/>
        <v>0</v>
      </c>
      <c r="I186" s="9">
        <f t="shared" si="19"/>
        <v>0</v>
      </c>
      <c r="J186" s="9" t="str">
        <f t="shared" si="20"/>
        <v/>
      </c>
      <c r="K186" s="9" t="str">
        <f t="shared" si="23"/>
        <v>-</v>
      </c>
      <c r="L186" s="52" t="str">
        <f>IFERROR(VLOOKUP(K186,MASTER!$C$25:$D$30,2,0),"")</f>
        <v/>
      </c>
      <c r="M186" s="4" t="str">
        <f t="shared" si="21"/>
        <v>0X0</v>
      </c>
      <c r="N186" s="62" t="str">
        <f t="shared" si="24"/>
        <v>0X0</v>
      </c>
      <c r="O186" s="4" t="str">
        <f t="shared" si="17"/>
        <v>0X0</v>
      </c>
      <c r="P186" s="5">
        <f t="shared" si="22"/>
        <v>0</v>
      </c>
      <c r="Q186" s="9"/>
      <c r="R186" s="9"/>
      <c r="S186" s="13"/>
      <c r="T186" s="13"/>
      <c r="U186" s="13"/>
      <c r="V186" s="5"/>
    </row>
    <row r="187" spans="1:22" ht="20.100000000000001" customHeight="1" x14ac:dyDescent="0.2">
      <c r="A187" s="21"/>
      <c r="B187" s="5"/>
      <c r="C187" s="5"/>
      <c r="D187" s="9"/>
      <c r="E187" s="9"/>
      <c r="F187" s="9"/>
      <c r="G187" s="9"/>
      <c r="H187" s="9">
        <f t="shared" si="18"/>
        <v>0</v>
      </c>
      <c r="I187" s="9">
        <f t="shared" si="19"/>
        <v>0</v>
      </c>
      <c r="J187" s="9" t="str">
        <f t="shared" si="20"/>
        <v/>
      </c>
      <c r="K187" s="9" t="str">
        <f t="shared" si="23"/>
        <v>-</v>
      </c>
      <c r="L187" s="52" t="str">
        <f>IFERROR(VLOOKUP(K187,MASTER!$C$25:$D$30,2,0),"")</f>
        <v/>
      </c>
      <c r="M187" s="4" t="str">
        <f t="shared" si="21"/>
        <v>0X0</v>
      </c>
      <c r="N187" s="62" t="str">
        <f t="shared" si="24"/>
        <v>0X0</v>
      </c>
      <c r="O187" s="4" t="str">
        <f t="shared" si="17"/>
        <v>0X0</v>
      </c>
      <c r="P187" s="5">
        <f t="shared" si="22"/>
        <v>0</v>
      </c>
      <c r="Q187" s="9"/>
      <c r="R187" s="9"/>
      <c r="S187" s="13"/>
      <c r="T187" s="13"/>
      <c r="U187" s="13"/>
      <c r="V187" s="5"/>
    </row>
    <row r="188" spans="1:22" ht="20.100000000000001" customHeight="1" x14ac:dyDescent="0.2">
      <c r="A188" s="21"/>
      <c r="B188" s="5"/>
      <c r="C188" s="5"/>
      <c r="D188" s="9"/>
      <c r="E188" s="9"/>
      <c r="F188" s="9"/>
      <c r="G188" s="9"/>
      <c r="H188" s="9">
        <f t="shared" si="18"/>
        <v>0</v>
      </c>
      <c r="I188" s="9">
        <f t="shared" si="19"/>
        <v>0</v>
      </c>
      <c r="J188" s="9" t="str">
        <f t="shared" si="20"/>
        <v/>
      </c>
      <c r="K188" s="9" t="str">
        <f t="shared" si="23"/>
        <v>-</v>
      </c>
      <c r="L188" s="52" t="str">
        <f>IFERROR(VLOOKUP(K188,MASTER!$C$25:$D$30,2,0),"")</f>
        <v/>
      </c>
      <c r="M188" s="4" t="str">
        <f t="shared" si="21"/>
        <v>0X0</v>
      </c>
      <c r="N188" s="62" t="str">
        <f t="shared" si="24"/>
        <v>0X0</v>
      </c>
      <c r="O188" s="4" t="str">
        <f t="shared" si="17"/>
        <v>0X0</v>
      </c>
      <c r="P188" s="5">
        <f t="shared" si="22"/>
        <v>0</v>
      </c>
      <c r="Q188" s="9"/>
      <c r="R188" s="9"/>
      <c r="S188" s="13"/>
      <c r="T188" s="13"/>
      <c r="U188" s="13"/>
      <c r="V188" s="5"/>
    </row>
    <row r="189" spans="1:22" ht="20.100000000000001" customHeight="1" x14ac:dyDescent="0.2">
      <c r="A189" s="21"/>
      <c r="B189" s="5"/>
      <c r="C189" s="5"/>
      <c r="D189" s="9"/>
      <c r="E189" s="9"/>
      <c r="F189" s="9"/>
      <c r="G189" s="9"/>
      <c r="H189" s="9">
        <f t="shared" si="18"/>
        <v>0</v>
      </c>
      <c r="I189" s="9">
        <f t="shared" si="19"/>
        <v>0</v>
      </c>
      <c r="J189" s="9" t="str">
        <f t="shared" si="20"/>
        <v/>
      </c>
      <c r="K189" s="9" t="str">
        <f t="shared" si="23"/>
        <v>-</v>
      </c>
      <c r="L189" s="52" t="str">
        <f>IFERROR(VLOOKUP(K189,MASTER!$C$25:$D$30,2,0),"")</f>
        <v/>
      </c>
      <c r="M189" s="4" t="str">
        <f t="shared" si="21"/>
        <v>0X0</v>
      </c>
      <c r="N189" s="62" t="str">
        <f t="shared" si="24"/>
        <v>0X0</v>
      </c>
      <c r="O189" s="4" t="str">
        <f t="shared" si="17"/>
        <v>0X0</v>
      </c>
      <c r="P189" s="5">
        <f t="shared" si="22"/>
        <v>0</v>
      </c>
      <c r="Q189" s="9"/>
      <c r="R189" s="9"/>
      <c r="S189" s="13"/>
      <c r="T189" s="13"/>
      <c r="U189" s="13"/>
      <c r="V189" s="5"/>
    </row>
    <row r="190" spans="1:22" ht="20.100000000000001" customHeight="1" x14ac:dyDescent="0.2">
      <c r="A190" s="21"/>
      <c r="B190" s="5"/>
      <c r="C190" s="5"/>
      <c r="D190" s="9"/>
      <c r="E190" s="9"/>
      <c r="F190" s="9"/>
      <c r="G190" s="9"/>
      <c r="H190" s="9">
        <f t="shared" si="18"/>
        <v>0</v>
      </c>
      <c r="I190" s="9">
        <f t="shared" si="19"/>
        <v>0</v>
      </c>
      <c r="J190" s="9" t="str">
        <f t="shared" si="20"/>
        <v/>
      </c>
      <c r="K190" s="9" t="str">
        <f t="shared" si="23"/>
        <v>-</v>
      </c>
      <c r="L190" s="52" t="str">
        <f>IFERROR(VLOOKUP(K190,MASTER!$C$25:$D$30,2,0),"")</f>
        <v/>
      </c>
      <c r="M190" s="4" t="str">
        <f t="shared" si="21"/>
        <v>0X0</v>
      </c>
      <c r="N190" s="62" t="str">
        <f t="shared" si="24"/>
        <v>0X0</v>
      </c>
      <c r="O190" s="4" t="str">
        <f t="shared" si="17"/>
        <v>0X0</v>
      </c>
      <c r="P190" s="5">
        <f t="shared" si="22"/>
        <v>0</v>
      </c>
      <c r="Q190" s="9"/>
      <c r="R190" s="9"/>
      <c r="S190" s="13"/>
      <c r="T190" s="13"/>
      <c r="U190" s="13"/>
      <c r="V190" s="5"/>
    </row>
    <row r="191" spans="1:22" ht="20.100000000000001" customHeight="1" x14ac:dyDescent="0.2">
      <c r="A191" s="21"/>
      <c r="B191" s="5"/>
      <c r="C191" s="5"/>
      <c r="D191" s="9"/>
      <c r="E191" s="9"/>
      <c r="F191" s="9"/>
      <c r="G191" s="9"/>
      <c r="H191" s="9">
        <f t="shared" si="18"/>
        <v>0</v>
      </c>
      <c r="I191" s="9">
        <f t="shared" si="19"/>
        <v>0</v>
      </c>
      <c r="J191" s="9" t="str">
        <f t="shared" si="20"/>
        <v/>
      </c>
      <c r="K191" s="9" t="str">
        <f t="shared" si="23"/>
        <v>-</v>
      </c>
      <c r="L191" s="52" t="str">
        <f>IFERROR(VLOOKUP(K191,MASTER!$C$25:$D$30,2,0),"")</f>
        <v/>
      </c>
      <c r="M191" s="4" t="str">
        <f t="shared" si="21"/>
        <v>0X0</v>
      </c>
      <c r="N191" s="62" t="str">
        <f t="shared" si="24"/>
        <v>0X0</v>
      </c>
      <c r="O191" s="4" t="str">
        <f t="shared" si="17"/>
        <v>0X0</v>
      </c>
      <c r="P191" s="5">
        <f t="shared" si="22"/>
        <v>0</v>
      </c>
      <c r="Q191" s="9"/>
      <c r="R191" s="9"/>
      <c r="S191" s="13"/>
      <c r="T191" s="13"/>
      <c r="U191" s="13"/>
      <c r="V191" s="5"/>
    </row>
    <row r="192" spans="1:22" ht="20.100000000000001" customHeight="1" x14ac:dyDescent="0.2">
      <c r="A192" s="21"/>
      <c r="B192" s="5"/>
      <c r="C192" s="5"/>
      <c r="D192" s="9"/>
      <c r="E192" s="9"/>
      <c r="F192" s="9"/>
      <c r="G192" s="9"/>
      <c r="H192" s="9">
        <f t="shared" si="18"/>
        <v>0</v>
      </c>
      <c r="I192" s="9">
        <f t="shared" si="19"/>
        <v>0</v>
      </c>
      <c r="J192" s="9" t="str">
        <f t="shared" si="20"/>
        <v/>
      </c>
      <c r="K192" s="9" t="str">
        <f t="shared" si="23"/>
        <v>-</v>
      </c>
      <c r="L192" s="52" t="str">
        <f>IFERROR(VLOOKUP(K192,MASTER!$C$25:$D$30,2,0),"")</f>
        <v/>
      </c>
      <c r="M192" s="4" t="str">
        <f t="shared" si="21"/>
        <v>0X0</v>
      </c>
      <c r="N192" s="62" t="str">
        <f t="shared" si="24"/>
        <v>0X0</v>
      </c>
      <c r="O192" s="4" t="str">
        <f t="shared" si="17"/>
        <v>0X0</v>
      </c>
      <c r="P192" s="5">
        <f t="shared" si="22"/>
        <v>0</v>
      </c>
      <c r="Q192" s="9"/>
      <c r="R192" s="9"/>
      <c r="S192" s="13"/>
      <c r="T192" s="13"/>
      <c r="U192" s="13"/>
      <c r="V192" s="5"/>
    </row>
    <row r="193" spans="1:22" ht="20.100000000000001" customHeight="1" x14ac:dyDescent="0.2">
      <c r="A193" s="21"/>
      <c r="B193" s="5"/>
      <c r="C193" s="5"/>
      <c r="D193" s="9"/>
      <c r="E193" s="9"/>
      <c r="F193" s="9"/>
      <c r="G193" s="9"/>
      <c r="H193" s="9">
        <f t="shared" si="18"/>
        <v>0</v>
      </c>
      <c r="I193" s="9">
        <f t="shared" si="19"/>
        <v>0</v>
      </c>
      <c r="J193" s="9" t="str">
        <f t="shared" si="20"/>
        <v/>
      </c>
      <c r="K193" s="9" t="str">
        <f t="shared" si="23"/>
        <v>-</v>
      </c>
      <c r="L193" s="52" t="str">
        <f>IFERROR(VLOOKUP(K193,MASTER!$C$25:$D$30,2,0),"")</f>
        <v/>
      </c>
      <c r="M193" s="4" t="str">
        <f t="shared" si="21"/>
        <v>0X0</v>
      </c>
      <c r="N193" s="62" t="str">
        <f t="shared" si="24"/>
        <v>0X0</v>
      </c>
      <c r="O193" s="4" t="str">
        <f t="shared" si="17"/>
        <v>0X0</v>
      </c>
      <c r="P193" s="5">
        <f t="shared" si="22"/>
        <v>0</v>
      </c>
      <c r="Q193" s="9"/>
      <c r="R193" s="9"/>
      <c r="S193" s="13"/>
      <c r="T193" s="13"/>
      <c r="U193" s="13"/>
      <c r="V193" s="5"/>
    </row>
    <row r="194" spans="1:22" ht="20.100000000000001" customHeight="1" x14ac:dyDescent="0.2">
      <c r="A194" s="21"/>
      <c r="B194" s="5"/>
      <c r="C194" s="5"/>
      <c r="D194" s="9"/>
      <c r="E194" s="9"/>
      <c r="F194" s="9"/>
      <c r="G194" s="9"/>
      <c r="H194" s="9">
        <f t="shared" si="18"/>
        <v>0</v>
      </c>
      <c r="I194" s="9">
        <f t="shared" si="19"/>
        <v>0</v>
      </c>
      <c r="J194" s="9" t="str">
        <f t="shared" si="20"/>
        <v/>
      </c>
      <c r="K194" s="9" t="str">
        <f t="shared" si="23"/>
        <v>-</v>
      </c>
      <c r="L194" s="52" t="str">
        <f>IFERROR(VLOOKUP(K194,MASTER!$C$25:$D$30,2,0),"")</f>
        <v/>
      </c>
      <c r="M194" s="4" t="str">
        <f t="shared" si="21"/>
        <v>0X0</v>
      </c>
      <c r="N194" s="62" t="str">
        <f t="shared" si="24"/>
        <v>0X0</v>
      </c>
      <c r="O194" s="4" t="str">
        <f t="shared" si="17"/>
        <v>0X0</v>
      </c>
      <c r="P194" s="5">
        <f t="shared" si="22"/>
        <v>0</v>
      </c>
      <c r="Q194" s="9"/>
      <c r="R194" s="9"/>
      <c r="S194" s="13"/>
      <c r="T194" s="13"/>
      <c r="U194" s="13"/>
      <c r="V194" s="5"/>
    </row>
    <row r="195" spans="1:22" ht="20.100000000000001" customHeight="1" x14ac:dyDescent="0.2">
      <c r="A195" s="21"/>
      <c r="B195" s="5"/>
      <c r="C195" s="5"/>
      <c r="D195" s="9"/>
      <c r="E195" s="9"/>
      <c r="F195" s="9"/>
      <c r="G195" s="9"/>
      <c r="H195" s="9">
        <f t="shared" si="18"/>
        <v>0</v>
      </c>
      <c r="I195" s="9">
        <f t="shared" si="19"/>
        <v>0</v>
      </c>
      <c r="J195" s="9" t="str">
        <f t="shared" si="20"/>
        <v/>
      </c>
      <c r="K195" s="9" t="str">
        <f t="shared" si="23"/>
        <v>-</v>
      </c>
      <c r="L195" s="52" t="str">
        <f>IFERROR(VLOOKUP(K195,MASTER!$C$25:$D$30,2,0),"")</f>
        <v/>
      </c>
      <c r="M195" s="4" t="str">
        <f t="shared" si="21"/>
        <v>0X0</v>
      </c>
      <c r="N195" s="62" t="str">
        <f t="shared" si="24"/>
        <v>0X0</v>
      </c>
      <c r="O195" s="4" t="str">
        <f t="shared" si="17"/>
        <v>0X0</v>
      </c>
      <c r="P195" s="5">
        <f t="shared" si="22"/>
        <v>0</v>
      </c>
      <c r="Q195" s="9"/>
      <c r="R195" s="9"/>
      <c r="S195" s="13"/>
      <c r="T195" s="13"/>
      <c r="U195" s="13"/>
      <c r="V195" s="5"/>
    </row>
    <row r="196" spans="1:22" ht="20.100000000000001" customHeight="1" x14ac:dyDescent="0.2">
      <c r="A196" s="21"/>
      <c r="B196" s="5"/>
      <c r="C196" s="5"/>
      <c r="D196" s="9"/>
      <c r="E196" s="9"/>
      <c r="F196" s="9"/>
      <c r="G196" s="9"/>
      <c r="H196" s="9">
        <f t="shared" si="18"/>
        <v>0</v>
      </c>
      <c r="I196" s="9">
        <f t="shared" si="19"/>
        <v>0</v>
      </c>
      <c r="J196" s="9" t="str">
        <f t="shared" si="20"/>
        <v/>
      </c>
      <c r="K196" s="9" t="str">
        <f t="shared" si="23"/>
        <v>-</v>
      </c>
      <c r="L196" s="52" t="str">
        <f>IFERROR(VLOOKUP(K196,MASTER!$C$25:$D$30,2,0),"")</f>
        <v/>
      </c>
      <c r="M196" s="4" t="str">
        <f t="shared" si="21"/>
        <v>0X0</v>
      </c>
      <c r="N196" s="62" t="str">
        <f t="shared" si="24"/>
        <v>0X0</v>
      </c>
      <c r="O196" s="4" t="str">
        <f t="shared" si="17"/>
        <v>0X0</v>
      </c>
      <c r="P196" s="5">
        <f t="shared" si="22"/>
        <v>0</v>
      </c>
      <c r="Q196" s="9"/>
      <c r="R196" s="9"/>
      <c r="S196" s="13"/>
      <c r="T196" s="13"/>
      <c r="U196" s="13"/>
      <c r="V196" s="5"/>
    </row>
    <row r="197" spans="1:22" ht="20.100000000000001" customHeight="1" x14ac:dyDescent="0.2">
      <c r="A197" s="21"/>
      <c r="B197" s="5"/>
      <c r="C197" s="5"/>
      <c r="D197" s="9"/>
      <c r="E197" s="9"/>
      <c r="F197" s="9"/>
      <c r="G197" s="9"/>
      <c r="H197" s="9">
        <f t="shared" si="18"/>
        <v>0</v>
      </c>
      <c r="I197" s="9">
        <f t="shared" si="19"/>
        <v>0</v>
      </c>
      <c r="J197" s="9" t="str">
        <f t="shared" si="20"/>
        <v/>
      </c>
      <c r="K197" s="9" t="str">
        <f t="shared" si="23"/>
        <v>-</v>
      </c>
      <c r="L197" s="52" t="str">
        <f>IFERROR(VLOOKUP(K197,MASTER!$C$25:$D$30,2,0),"")</f>
        <v/>
      </c>
      <c r="M197" s="4" t="str">
        <f t="shared" si="21"/>
        <v>0X0</v>
      </c>
      <c r="N197" s="62" t="str">
        <f t="shared" si="24"/>
        <v>0X0</v>
      </c>
      <c r="O197" s="4" t="str">
        <f t="shared" ref="O197:O202" si="25">N197</f>
        <v>0X0</v>
      </c>
      <c r="P197" s="5">
        <f t="shared" si="22"/>
        <v>0</v>
      </c>
      <c r="Q197" s="9"/>
      <c r="R197" s="9"/>
      <c r="S197" s="13"/>
      <c r="T197" s="13"/>
      <c r="U197" s="13"/>
      <c r="V197" s="5"/>
    </row>
    <row r="198" spans="1:22" ht="20.100000000000001" customHeight="1" x14ac:dyDescent="0.2">
      <c r="A198" s="21"/>
      <c r="B198" s="5"/>
      <c r="C198" s="5"/>
      <c r="D198" s="9"/>
      <c r="E198" s="9"/>
      <c r="F198" s="9"/>
      <c r="G198" s="9"/>
      <c r="H198" s="9">
        <f t="shared" ref="H198:H202" si="26">IF(D198="",0,IF(VALUE(D198)&gt;VALUE(E198),IF(OR(VALUE(D198)=13,VALUE(D198)=20,VALUE(D198)=72,VALUE(D198)=75,VALUE(D198)=78,VALUE(D198)=80,VALUE(D198)=84),D198,IF(VALUE(D198)&lt;72,72,IF(VALUE(D198)&lt;75,75,IF(VALUE(D198)&lt;78,78,IF(VALUE(D198)&lt;80,80,IF(VALUE(D198)&lt;84,84,IF(VALUE(D198)&gt;84,84,""""))))))),IF(OR(VALUE(D198)=13,VALUE(D198)=20,VALUE(D198)=30,VALUE(D198)=33,VALUE(D198)=36,VALUE(D198)=39,VALUE(D198)=42,VALUE(D198)=45,VALUE(D198)=48,VALUE(D198)=51,VALUE(D198)=54,VALUE(D198)=57,VALUE(D198)=60,VALUE(D198)=63,VALUE(D198)=66,VALUE(D198)=69,VALUE(D198)=72),D198,IF(VALUE(D198)&lt;30,30,IF(VALUE(D198)&lt;33,33,IF(VALUE(D198)&lt;36,36,IF(VALUE(D198)&lt;39,39,IF(VALUE(D198)&lt;42,42,IF(VALUE(D198)&lt;45,45,IF(VALUE(D198)&lt;48,48,IF(VALUE(D198)&lt;51,51,IF(VALUE(D198)&lt;54,54,IF(VALUE(D198)&lt;57,57,IF(VALUE(D198)&lt;60,60,IF(VALUE(D198)&lt;63,63,IF(VALUE(D198)&lt;66,66,IF(VALUE(D198)&lt;69,69,IF(VALUE(D198)&lt;72,72,IF(VALUE(D198)&gt;72,72,"""")))))))))))))))))))</f>
        <v>0</v>
      </c>
      <c r="I198" s="9">
        <f t="shared" ref="I198:I202" si="27">IF(E198="",0,IF(VALUE(D198)&gt;VALUE(E198),IF(OR(VALUE(E198)=13,VALUE(E198)=18,VALUE(E198)=30,VALUE(E198)=33,VALUE(E198)=36,VALUE(E198)=39,VALUE(E198)=42,VALUE(E198)=45,VALUE(E198)=48,VALUE(E198)=51,VALUE(E198)=54,VALUE(E198)=57,VALUE(E198)=60,VALUE(E198)=63,VALUE(E198)=66,VALUE(E198)=69,VALUE(E198)=72),E198,IF(VALUE(E198)&lt;30,30,IF(VALUE(E198)&lt;33,33,IF(VALUE(E198)&lt;36,36,IF(VALUE(E198)&lt;39,39,IF(VALUE(E198)&lt;42,42,IF(VALUE(E198)&lt;45,45,IF(VALUE(E198)&lt;48,48,IF(VALUE(E198)&lt;51,51,IF(VALUE(E198)&lt;54,54,IF(VALUE(E198)&lt;57,57,IF(VALUE(E198)&lt;60,60,IF(VALUE(E198)&lt;63,63,IF(VALUE(E198)&lt;66,66,IF(VALUE(E198)&lt;69,69,IF(VALUE(E198)&lt;72,72,IF(VALUE(E198)&gt;72,72,""""))))))))))))))))),IF(OR(VALUE(E198)=13,VALUE(E198)=18,VALUE(E198)=72,VALUE(E198)=75,VALUE(E198)=78,VALUE(E198)=80,VALUE(E198)=84),E198,IF(VALUE(E198)&lt;72,72,IF(VALUE(E198)&lt;75,75,IF(VALUE(E198)&lt;78,78,IF(VALUE(E198)&lt;80,80,IF(VALUE(E198)&lt;84,84,IF(VALUE(E198)&gt;84,84,"""")))))))))</f>
        <v>0</v>
      </c>
      <c r="J198" s="9" t="str">
        <f t="shared" ref="J198:J202" si="28">IF(F198&gt;7,F198,"")</f>
        <v/>
      </c>
      <c r="K198" s="9" t="str">
        <f t="shared" si="23"/>
        <v>-</v>
      </c>
      <c r="L198" s="52" t="str">
        <f>IFERROR(VLOOKUP(K198,MASTER!$C$25:$D$30,2,0),"")</f>
        <v/>
      </c>
      <c r="M198" s="4" t="str">
        <f t="shared" ref="M198:M202" si="29">IFERROR(IF(J198=8,(H198&amp;"X"&amp;I198&amp;"X"&amp;"0"&amp;J198),(H198&amp;"X"&amp;I198)),"")</f>
        <v>0X0</v>
      </c>
      <c r="N198" s="62" t="str">
        <f t="shared" si="24"/>
        <v>0X0</v>
      </c>
      <c r="O198" s="4" t="str">
        <f t="shared" si="25"/>
        <v>0X0</v>
      </c>
      <c r="P198" s="5">
        <f t="shared" ref="P198:P202" si="30">+G198</f>
        <v>0</v>
      </c>
      <c r="Q198" s="9"/>
      <c r="R198" s="9"/>
      <c r="S198" s="13"/>
      <c r="T198" s="13"/>
      <c r="U198" s="13"/>
      <c r="V198" s="5"/>
    </row>
    <row r="199" spans="1:22" ht="20.100000000000001" customHeight="1" x14ac:dyDescent="0.2">
      <c r="A199" s="21"/>
      <c r="B199" s="5"/>
      <c r="C199" s="5"/>
      <c r="D199" s="9"/>
      <c r="E199" s="9"/>
      <c r="F199" s="9"/>
      <c r="G199" s="9"/>
      <c r="H199" s="9">
        <f t="shared" si="26"/>
        <v>0</v>
      </c>
      <c r="I199" s="9">
        <f t="shared" si="27"/>
        <v>0</v>
      </c>
      <c r="J199" s="9" t="str">
        <f t="shared" si="28"/>
        <v/>
      </c>
      <c r="K199" s="9" t="str">
        <f t="shared" si="23"/>
        <v>-</v>
      </c>
      <c r="L199" s="52" t="str">
        <f>IFERROR(VLOOKUP(K199,MASTER!$C$25:$D$30,2,0),"")</f>
        <v/>
      </c>
      <c r="M199" s="4" t="str">
        <f t="shared" si="29"/>
        <v>0X0</v>
      </c>
      <c r="N199" s="62" t="str">
        <f t="shared" si="24"/>
        <v>0X0</v>
      </c>
      <c r="O199" s="4" t="str">
        <f t="shared" si="25"/>
        <v>0X0</v>
      </c>
      <c r="P199" s="5">
        <f t="shared" si="30"/>
        <v>0</v>
      </c>
      <c r="Q199" s="9"/>
      <c r="R199" s="9"/>
      <c r="S199" s="13"/>
      <c r="T199" s="13"/>
      <c r="U199" s="13"/>
      <c r="V199" s="5"/>
    </row>
    <row r="200" spans="1:22" ht="20.100000000000001" customHeight="1" x14ac:dyDescent="0.2">
      <c r="A200" s="21"/>
      <c r="B200" s="5"/>
      <c r="C200" s="5"/>
      <c r="D200" s="9"/>
      <c r="E200" s="9"/>
      <c r="F200" s="9"/>
      <c r="G200" s="9"/>
      <c r="H200" s="9">
        <f t="shared" si="26"/>
        <v>0</v>
      </c>
      <c r="I200" s="9">
        <f t="shared" si="27"/>
        <v>0</v>
      </c>
      <c r="J200" s="9" t="str">
        <f t="shared" si="28"/>
        <v/>
      </c>
      <c r="K200" s="9" t="str">
        <f t="shared" si="23"/>
        <v>-</v>
      </c>
      <c r="L200" s="52" t="str">
        <f>IFERROR(VLOOKUP(K200,MASTER!$C$25:$D$30,2,0),"")</f>
        <v/>
      </c>
      <c r="M200" s="4" t="str">
        <f t="shared" si="29"/>
        <v>0X0</v>
      </c>
      <c r="N200" s="62" t="str">
        <f t="shared" si="24"/>
        <v>0X0</v>
      </c>
      <c r="O200" s="4" t="str">
        <f t="shared" si="25"/>
        <v>0X0</v>
      </c>
      <c r="P200" s="5">
        <f t="shared" si="30"/>
        <v>0</v>
      </c>
      <c r="Q200" s="9"/>
      <c r="R200" s="9"/>
      <c r="S200" s="13"/>
      <c r="T200" s="13"/>
      <c r="U200" s="13"/>
      <c r="V200" s="5"/>
    </row>
    <row r="201" spans="1:22" ht="20.100000000000001" customHeight="1" x14ac:dyDescent="0.2">
      <c r="A201" s="21"/>
      <c r="B201" s="5"/>
      <c r="C201" s="5"/>
      <c r="D201" s="9"/>
      <c r="E201" s="9"/>
      <c r="F201" s="9"/>
      <c r="G201" s="9"/>
      <c r="H201" s="9">
        <f t="shared" si="26"/>
        <v>0</v>
      </c>
      <c r="I201" s="9">
        <f t="shared" si="27"/>
        <v>0</v>
      </c>
      <c r="J201" s="9" t="str">
        <f t="shared" si="28"/>
        <v/>
      </c>
      <c r="K201" s="9" t="str">
        <f t="shared" ref="K201:K202" si="31">B201&amp;"-"&amp;C201</f>
        <v>-</v>
      </c>
      <c r="L201" s="52" t="str">
        <f>IFERROR(VLOOKUP(K201,MASTER!$C$25:$D$30,2,0),"")</f>
        <v/>
      </c>
      <c r="M201" s="4" t="str">
        <f t="shared" si="29"/>
        <v>0X0</v>
      </c>
      <c r="N201" s="62" t="str">
        <f t="shared" ref="N201:N202" si="32">IFERROR((L201&amp;M201),"")</f>
        <v>0X0</v>
      </c>
      <c r="O201" s="4" t="str">
        <f t="shared" si="25"/>
        <v>0X0</v>
      </c>
      <c r="P201" s="5">
        <f t="shared" si="30"/>
        <v>0</v>
      </c>
      <c r="Q201" s="9"/>
      <c r="R201" s="9"/>
      <c r="S201" s="13"/>
      <c r="T201" s="13"/>
      <c r="U201" s="13"/>
      <c r="V201" s="5"/>
    </row>
    <row r="202" spans="1:22" ht="20.100000000000001" customHeight="1" x14ac:dyDescent="0.2">
      <c r="A202" s="21"/>
      <c r="B202" s="5"/>
      <c r="C202" s="5"/>
      <c r="D202" s="9"/>
      <c r="E202" s="9"/>
      <c r="F202" s="9"/>
      <c r="G202" s="9"/>
      <c r="H202" s="9">
        <f t="shared" si="26"/>
        <v>0</v>
      </c>
      <c r="I202" s="9">
        <f t="shared" si="27"/>
        <v>0</v>
      </c>
      <c r="J202" s="9" t="str">
        <f t="shared" si="28"/>
        <v/>
      </c>
      <c r="K202" s="9" t="str">
        <f t="shared" si="31"/>
        <v>-</v>
      </c>
      <c r="L202" s="52" t="str">
        <f>IFERROR(VLOOKUP(K202,MASTER!$C$25:$D$30,2,0),"")</f>
        <v/>
      </c>
      <c r="M202" s="4" t="str">
        <f t="shared" si="29"/>
        <v>0X0</v>
      </c>
      <c r="N202" s="62" t="str">
        <f t="shared" si="32"/>
        <v>0X0</v>
      </c>
      <c r="O202" s="4" t="str">
        <f t="shared" si="25"/>
        <v>0X0</v>
      </c>
      <c r="P202" s="5">
        <f t="shared" si="30"/>
        <v>0</v>
      </c>
      <c r="Q202" s="9"/>
      <c r="R202" s="9"/>
      <c r="S202" s="13"/>
      <c r="T202" s="13"/>
      <c r="U202" s="13"/>
      <c r="V202" s="5"/>
    </row>
    <row r="203" spans="1:22" ht="20.100000000000001" customHeight="1" x14ac:dyDescent="0.25">
      <c r="A203" s="174" t="s">
        <v>4</v>
      </c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6"/>
      <c r="M203" s="26"/>
      <c r="N203" s="63" t="str">
        <f>IF(K203="","",(L203&amp;H203&amp;"X"&amp;I203&amp;"X0"&amp;F203))</f>
        <v/>
      </c>
      <c r="O203" s="26"/>
      <c r="P203" s="25">
        <f>SUM(P5:P202)</f>
        <v>0</v>
      </c>
      <c r="Q203" s="2"/>
      <c r="R203" s="2"/>
      <c r="S203" s="14"/>
      <c r="T203" s="14"/>
      <c r="U203" s="14"/>
      <c r="V203" s="25"/>
    </row>
    <row r="204" spans="1:22" ht="20.100000000000001" customHeight="1" x14ac:dyDescent="0.2">
      <c r="S204" s="6"/>
      <c r="T204" s="6"/>
      <c r="U204" s="6"/>
      <c r="V204" s="6"/>
    </row>
    <row r="205" spans="1:22" ht="20.100000000000001" customHeight="1" x14ac:dyDescent="0.2">
      <c r="S205" s="6"/>
      <c r="T205" s="6"/>
      <c r="U205" s="6"/>
      <c r="V205" s="6"/>
    </row>
    <row r="206" spans="1:22" ht="20.100000000000001" customHeight="1" x14ac:dyDescent="0.2">
      <c r="S206" s="6"/>
      <c r="T206" s="6"/>
      <c r="U206" s="6"/>
      <c r="V206" s="6"/>
    </row>
    <row r="207" spans="1:22" ht="20.100000000000001" customHeight="1" x14ac:dyDescent="0.2">
      <c r="S207" s="6"/>
      <c r="T207" s="6"/>
      <c r="U207" s="6"/>
      <c r="V207" s="6"/>
    </row>
    <row r="208" spans="1:22" ht="20.100000000000001" customHeight="1" x14ac:dyDescent="0.2">
      <c r="S208" s="6"/>
      <c r="T208" s="6"/>
      <c r="U208" s="6"/>
      <c r="V208" s="6"/>
    </row>
    <row r="209" spans="19:22" ht="20.100000000000001" customHeight="1" x14ac:dyDescent="0.2">
      <c r="S209" s="6"/>
      <c r="T209" s="6"/>
      <c r="U209" s="6"/>
      <c r="V209" s="6"/>
    </row>
    <row r="210" spans="19:22" ht="20.100000000000001" customHeight="1" x14ac:dyDescent="0.2">
      <c r="S210" s="6"/>
      <c r="T210" s="6"/>
      <c r="U210" s="6"/>
      <c r="V210" s="6"/>
    </row>
    <row r="211" spans="19:22" ht="20.100000000000001" customHeight="1" x14ac:dyDescent="0.2">
      <c r="S211" s="6"/>
      <c r="T211" s="6"/>
      <c r="U211" s="6"/>
      <c r="V211" s="6"/>
    </row>
    <row r="212" spans="19:22" ht="20.100000000000001" customHeight="1" x14ac:dyDescent="0.2">
      <c r="S212" s="6"/>
      <c r="T212" s="6"/>
      <c r="U212" s="6"/>
      <c r="V212" s="6"/>
    </row>
    <row r="213" spans="19:22" ht="20.100000000000001" customHeight="1" x14ac:dyDescent="0.2">
      <c r="S213" s="6"/>
      <c r="T213" s="6"/>
      <c r="U213" s="6"/>
      <c r="V213" s="6"/>
    </row>
    <row r="214" spans="19:22" ht="20.100000000000001" customHeight="1" x14ac:dyDescent="0.2">
      <c r="S214" s="6"/>
      <c r="T214" s="6"/>
      <c r="U214" s="6"/>
      <c r="V214" s="6"/>
    </row>
    <row r="215" spans="19:22" ht="20.100000000000001" customHeight="1" x14ac:dyDescent="0.2">
      <c r="S215" s="6"/>
      <c r="T215" s="6"/>
      <c r="U215" s="6"/>
      <c r="V215" s="6"/>
    </row>
    <row r="216" spans="19:22" ht="20.100000000000001" customHeight="1" x14ac:dyDescent="0.2">
      <c r="S216" s="6"/>
      <c r="T216" s="6"/>
      <c r="U216" s="6"/>
      <c r="V216" s="6"/>
    </row>
    <row r="217" spans="19:22" ht="20.100000000000001" customHeight="1" x14ac:dyDescent="0.2">
      <c r="S217" s="6"/>
      <c r="T217" s="6"/>
      <c r="U217" s="6"/>
      <c r="V217" s="6"/>
    </row>
    <row r="218" spans="19:22" ht="20.100000000000001" customHeight="1" x14ac:dyDescent="0.2">
      <c r="S218" s="6"/>
      <c r="T218" s="6"/>
      <c r="U218" s="6"/>
      <c r="V218" s="6"/>
    </row>
    <row r="219" spans="19:22" ht="20.100000000000001" customHeight="1" x14ac:dyDescent="0.2">
      <c r="S219" s="6"/>
      <c r="T219" s="6"/>
      <c r="U219" s="6"/>
      <c r="V219" s="6"/>
    </row>
    <row r="220" spans="19:22" ht="20.100000000000001" customHeight="1" x14ac:dyDescent="0.2">
      <c r="S220" s="6"/>
      <c r="T220" s="6"/>
      <c r="U220" s="6"/>
      <c r="V220" s="6"/>
    </row>
    <row r="221" spans="19:22" ht="20.100000000000001" customHeight="1" x14ac:dyDescent="0.2">
      <c r="S221" s="6"/>
      <c r="T221" s="6"/>
      <c r="U221" s="6"/>
      <c r="V221" s="6"/>
    </row>
    <row r="222" spans="19:22" ht="20.100000000000001" customHeight="1" x14ac:dyDescent="0.2">
      <c r="S222" s="6"/>
      <c r="T222" s="6"/>
      <c r="U222" s="6"/>
      <c r="V222" s="6"/>
    </row>
    <row r="223" spans="19:22" ht="20.100000000000001" customHeight="1" x14ac:dyDescent="0.2">
      <c r="S223" s="6"/>
      <c r="T223" s="6"/>
      <c r="U223" s="6"/>
      <c r="V223" s="6"/>
    </row>
    <row r="224" spans="19:22" ht="20.100000000000001" customHeight="1" x14ac:dyDescent="0.2">
      <c r="S224" s="6"/>
      <c r="T224" s="6"/>
      <c r="U224" s="6"/>
      <c r="V224" s="6"/>
    </row>
    <row r="225" spans="19:22" ht="20.100000000000001" customHeight="1" x14ac:dyDescent="0.2">
      <c r="S225" s="6"/>
      <c r="T225" s="6"/>
      <c r="U225" s="6"/>
      <c r="V225" s="6"/>
    </row>
    <row r="226" spans="19:22" ht="20.100000000000001" customHeight="1" x14ac:dyDescent="0.2">
      <c r="S226" s="6"/>
      <c r="T226" s="6"/>
      <c r="U226" s="6"/>
      <c r="V226" s="6"/>
    </row>
    <row r="227" spans="19:22" ht="20.100000000000001" customHeight="1" x14ac:dyDescent="0.2">
      <c r="S227" s="6"/>
      <c r="T227" s="6"/>
      <c r="U227" s="6"/>
      <c r="V227" s="6"/>
    </row>
    <row r="228" spans="19:22" ht="20.100000000000001" customHeight="1" x14ac:dyDescent="0.2">
      <c r="S228" s="6"/>
      <c r="T228" s="6"/>
      <c r="U228" s="6"/>
      <c r="V228" s="6"/>
    </row>
    <row r="229" spans="19:22" ht="20.100000000000001" customHeight="1" x14ac:dyDescent="0.2">
      <c r="S229" s="6"/>
      <c r="T229" s="6"/>
      <c r="U229" s="6"/>
      <c r="V229" s="6"/>
    </row>
    <row r="230" spans="19:22" ht="20.100000000000001" customHeight="1" x14ac:dyDescent="0.2">
      <c r="S230" s="6"/>
      <c r="T230" s="6"/>
      <c r="U230" s="6"/>
      <c r="V230" s="6"/>
    </row>
    <row r="231" spans="19:22" ht="20.100000000000001" customHeight="1" x14ac:dyDescent="0.2">
      <c r="S231" s="6"/>
      <c r="T231" s="6"/>
      <c r="U231" s="6"/>
      <c r="V231" s="6"/>
    </row>
    <row r="232" spans="19:22" ht="20.100000000000001" customHeight="1" x14ac:dyDescent="0.2">
      <c r="S232" s="6"/>
      <c r="T232" s="6"/>
      <c r="U232" s="6"/>
      <c r="V232" s="6"/>
    </row>
    <row r="233" spans="19:22" ht="20.100000000000001" customHeight="1" x14ac:dyDescent="0.2">
      <c r="S233" s="6"/>
      <c r="T233" s="6"/>
      <c r="U233" s="6"/>
      <c r="V233" s="6"/>
    </row>
    <row r="234" spans="19:22" ht="20.100000000000001" customHeight="1" x14ac:dyDescent="0.2">
      <c r="S234" s="6"/>
      <c r="T234" s="6"/>
      <c r="U234" s="6"/>
      <c r="V234" s="6"/>
    </row>
    <row r="235" spans="19:22" ht="20.100000000000001" customHeight="1" x14ac:dyDescent="0.2">
      <c r="S235" s="6"/>
      <c r="T235" s="6"/>
      <c r="U235" s="6"/>
      <c r="V235" s="6"/>
    </row>
    <row r="236" spans="19:22" ht="20.100000000000001" customHeight="1" x14ac:dyDescent="0.2">
      <c r="S236" s="6"/>
      <c r="T236" s="6"/>
      <c r="U236" s="6"/>
      <c r="V236" s="6"/>
    </row>
    <row r="237" spans="19:22" ht="20.100000000000001" customHeight="1" x14ac:dyDescent="0.2">
      <c r="S237" s="6"/>
      <c r="T237" s="6"/>
      <c r="U237" s="6"/>
      <c r="V237" s="6"/>
    </row>
    <row r="238" spans="19:22" ht="20.100000000000001" customHeight="1" x14ac:dyDescent="0.2">
      <c r="S238" s="6"/>
      <c r="T238" s="6"/>
      <c r="U238" s="6"/>
      <c r="V238" s="6"/>
    </row>
    <row r="239" spans="19:22" ht="20.100000000000001" customHeight="1" x14ac:dyDescent="0.2">
      <c r="S239" s="6"/>
      <c r="T239" s="6"/>
      <c r="U239" s="6"/>
      <c r="V239" s="6"/>
    </row>
    <row r="240" spans="19:22" ht="20.100000000000001" customHeight="1" x14ac:dyDescent="0.2">
      <c r="S240" s="6"/>
      <c r="T240" s="6"/>
      <c r="U240" s="6"/>
      <c r="V240" s="6"/>
    </row>
    <row r="241" spans="19:22" ht="20.100000000000001" customHeight="1" x14ac:dyDescent="0.2">
      <c r="S241" s="6"/>
      <c r="T241" s="6"/>
      <c r="U241" s="6"/>
      <c r="V241" s="6"/>
    </row>
    <row r="242" spans="19:22" ht="20.100000000000001" customHeight="1" x14ac:dyDescent="0.2">
      <c r="S242" s="6"/>
      <c r="T242" s="6"/>
      <c r="U242" s="6"/>
      <c r="V242" s="6"/>
    </row>
    <row r="243" spans="19:22" ht="20.100000000000001" customHeight="1" x14ac:dyDescent="0.2">
      <c r="S243" s="6"/>
      <c r="T243" s="6"/>
      <c r="U243" s="6"/>
      <c r="V243" s="6"/>
    </row>
    <row r="244" spans="19:22" ht="20.100000000000001" customHeight="1" x14ac:dyDescent="0.2">
      <c r="S244" s="6"/>
      <c r="T244" s="6"/>
      <c r="U244" s="6"/>
      <c r="V244" s="6"/>
    </row>
    <row r="245" spans="19:22" ht="20.100000000000001" customHeight="1" x14ac:dyDescent="0.2">
      <c r="S245" s="6"/>
      <c r="T245" s="6"/>
      <c r="U245" s="6"/>
      <c r="V245" s="6"/>
    </row>
    <row r="246" spans="19:22" ht="20.100000000000001" customHeight="1" x14ac:dyDescent="0.2">
      <c r="S246" s="6"/>
      <c r="T246" s="6"/>
      <c r="U246" s="6"/>
      <c r="V246" s="6"/>
    </row>
    <row r="247" spans="19:22" ht="20.100000000000001" customHeight="1" x14ac:dyDescent="0.2">
      <c r="S247" s="6"/>
      <c r="T247" s="6"/>
      <c r="U247" s="6"/>
      <c r="V247" s="6"/>
    </row>
    <row r="248" spans="19:22" ht="20.100000000000001" customHeight="1" x14ac:dyDescent="0.2">
      <c r="S248" s="6"/>
      <c r="T248" s="6"/>
      <c r="U248" s="6"/>
      <c r="V248" s="6"/>
    </row>
    <row r="249" spans="19:22" ht="20.100000000000001" customHeight="1" x14ac:dyDescent="0.2">
      <c r="S249" s="6"/>
      <c r="T249" s="6"/>
      <c r="U249" s="6"/>
      <c r="V249" s="6"/>
    </row>
    <row r="250" spans="19:22" ht="20.100000000000001" customHeight="1" x14ac:dyDescent="0.2">
      <c r="S250" s="6"/>
      <c r="T250" s="6"/>
      <c r="U250" s="6"/>
      <c r="V250" s="6"/>
    </row>
    <row r="251" spans="19:22" ht="20.100000000000001" customHeight="1" x14ac:dyDescent="0.2">
      <c r="S251" s="6"/>
      <c r="T251" s="6"/>
      <c r="U251" s="6"/>
      <c r="V251" s="6"/>
    </row>
    <row r="252" spans="19:22" ht="20.100000000000001" customHeight="1" x14ac:dyDescent="0.2">
      <c r="S252" s="6"/>
      <c r="T252" s="6"/>
      <c r="U252" s="6"/>
      <c r="V252" s="6"/>
    </row>
    <row r="253" spans="19:22" ht="20.100000000000001" customHeight="1" x14ac:dyDescent="0.2">
      <c r="S253" s="6"/>
      <c r="T253" s="6"/>
      <c r="U253" s="6"/>
      <c r="V253" s="6"/>
    </row>
    <row r="254" spans="19:22" ht="20.100000000000001" customHeight="1" x14ac:dyDescent="0.2">
      <c r="S254" s="6"/>
      <c r="T254" s="6"/>
      <c r="U254" s="6"/>
      <c r="V254" s="6"/>
    </row>
    <row r="255" spans="19:22" ht="20.100000000000001" customHeight="1" x14ac:dyDescent="0.2">
      <c r="S255" s="6"/>
      <c r="T255" s="6"/>
      <c r="U255" s="6"/>
      <c r="V255" s="6"/>
    </row>
    <row r="256" spans="19:22" ht="20.100000000000001" customHeight="1" x14ac:dyDescent="0.2">
      <c r="S256" s="6"/>
      <c r="T256" s="6"/>
      <c r="U256" s="6"/>
      <c r="V256" s="6"/>
    </row>
    <row r="257" spans="19:22" ht="20.100000000000001" customHeight="1" x14ac:dyDescent="0.2">
      <c r="S257" s="6"/>
      <c r="T257" s="6"/>
      <c r="U257" s="6"/>
      <c r="V257" s="6"/>
    </row>
    <row r="258" spans="19:22" ht="20.100000000000001" customHeight="1" x14ac:dyDescent="0.2">
      <c r="S258" s="6"/>
      <c r="T258" s="6"/>
      <c r="U258" s="6"/>
      <c r="V258" s="6"/>
    </row>
    <row r="259" spans="19:22" ht="20.100000000000001" customHeight="1" x14ac:dyDescent="0.2">
      <c r="S259" s="6"/>
      <c r="T259" s="6"/>
      <c r="U259" s="6"/>
      <c r="V259" s="6"/>
    </row>
    <row r="260" spans="19:22" ht="20.100000000000001" customHeight="1" x14ac:dyDescent="0.2">
      <c r="S260" s="6"/>
      <c r="T260" s="6"/>
      <c r="U260" s="6"/>
      <c r="V260" s="6"/>
    </row>
    <row r="261" spans="19:22" ht="20.100000000000001" customHeight="1" x14ac:dyDescent="0.2">
      <c r="S261" s="6"/>
      <c r="T261" s="6"/>
      <c r="U261" s="6"/>
      <c r="V261" s="6"/>
    </row>
    <row r="262" spans="19:22" ht="20.100000000000001" customHeight="1" x14ac:dyDescent="0.2">
      <c r="S262" s="6"/>
      <c r="T262" s="6"/>
      <c r="U262" s="6"/>
      <c r="V262" s="6"/>
    </row>
    <row r="263" spans="19:22" ht="20.100000000000001" customHeight="1" x14ac:dyDescent="0.2">
      <c r="S263" s="6"/>
      <c r="T263" s="6"/>
      <c r="U263" s="6"/>
      <c r="V263" s="6"/>
    </row>
    <row r="264" spans="19:22" ht="20.100000000000001" customHeight="1" x14ac:dyDescent="0.2">
      <c r="S264" s="6"/>
      <c r="T264" s="6"/>
      <c r="U264" s="6"/>
      <c r="V264" s="6"/>
    </row>
    <row r="265" spans="19:22" ht="20.100000000000001" customHeight="1" x14ac:dyDescent="0.2">
      <c r="S265" s="6"/>
      <c r="T265" s="6"/>
      <c r="U265" s="6"/>
      <c r="V265" s="6"/>
    </row>
    <row r="266" spans="19:22" ht="20.100000000000001" customHeight="1" x14ac:dyDescent="0.2">
      <c r="S266" s="6"/>
      <c r="T266" s="6"/>
      <c r="U266" s="6"/>
      <c r="V266" s="6"/>
    </row>
    <row r="267" spans="19:22" ht="20.100000000000001" customHeight="1" x14ac:dyDescent="0.2">
      <c r="S267" s="6"/>
      <c r="T267" s="6"/>
      <c r="U267" s="6"/>
      <c r="V267" s="6"/>
    </row>
    <row r="268" spans="19:22" ht="20.100000000000001" customHeight="1" x14ac:dyDescent="0.2">
      <c r="S268" s="6"/>
      <c r="T268" s="6"/>
      <c r="U268" s="6"/>
      <c r="V268" s="6"/>
    </row>
    <row r="269" spans="19:22" ht="20.100000000000001" customHeight="1" x14ac:dyDescent="0.2">
      <c r="S269" s="6"/>
      <c r="T269" s="6"/>
      <c r="U269" s="6"/>
      <c r="V269" s="6"/>
    </row>
    <row r="270" spans="19:22" ht="20.100000000000001" customHeight="1" x14ac:dyDescent="0.2">
      <c r="S270" s="6"/>
      <c r="T270" s="6"/>
      <c r="U270" s="6"/>
      <c r="V270" s="6"/>
    </row>
    <row r="271" spans="19:22" ht="20.100000000000001" customHeight="1" x14ac:dyDescent="0.2">
      <c r="S271" s="6"/>
      <c r="T271" s="6"/>
      <c r="U271" s="6"/>
      <c r="V271" s="6"/>
    </row>
    <row r="272" spans="19:22" ht="20.100000000000001" customHeight="1" x14ac:dyDescent="0.2">
      <c r="S272" s="6"/>
      <c r="T272" s="6"/>
      <c r="U272" s="6"/>
      <c r="V272" s="6"/>
    </row>
    <row r="273" spans="19:22" ht="20.100000000000001" customHeight="1" x14ac:dyDescent="0.2">
      <c r="S273" s="6"/>
      <c r="T273" s="6"/>
      <c r="U273" s="6"/>
      <c r="V273" s="6"/>
    </row>
    <row r="274" spans="19:22" ht="20.100000000000001" customHeight="1" x14ac:dyDescent="0.2">
      <c r="S274" s="6"/>
      <c r="T274" s="6"/>
      <c r="U274" s="6"/>
      <c r="V274" s="6"/>
    </row>
    <row r="275" spans="19:22" ht="20.100000000000001" customHeight="1" x14ac:dyDescent="0.2">
      <c r="S275" s="6"/>
      <c r="T275" s="6"/>
      <c r="U275" s="6"/>
      <c r="V275" s="6"/>
    </row>
    <row r="276" spans="19:22" ht="20.100000000000001" customHeight="1" x14ac:dyDescent="0.2">
      <c r="S276" s="6"/>
      <c r="T276" s="6"/>
      <c r="U276" s="6"/>
      <c r="V276" s="6"/>
    </row>
    <row r="277" spans="19:22" ht="20.100000000000001" customHeight="1" x14ac:dyDescent="0.2">
      <c r="S277" s="6"/>
      <c r="T277" s="6"/>
      <c r="U277" s="6"/>
      <c r="V277" s="6"/>
    </row>
    <row r="278" spans="19:22" ht="20.100000000000001" customHeight="1" x14ac:dyDescent="0.2">
      <c r="S278" s="6"/>
      <c r="T278" s="6"/>
      <c r="U278" s="6"/>
      <c r="V278" s="6"/>
    </row>
    <row r="279" spans="19:22" ht="20.100000000000001" customHeight="1" x14ac:dyDescent="0.2">
      <c r="S279" s="6"/>
      <c r="T279" s="6"/>
      <c r="U279" s="6"/>
      <c r="V279" s="6"/>
    </row>
    <row r="280" spans="19:22" ht="20.100000000000001" customHeight="1" x14ac:dyDescent="0.2">
      <c r="S280" s="6"/>
      <c r="T280" s="6"/>
      <c r="U280" s="6"/>
      <c r="V280" s="6"/>
    </row>
    <row r="281" spans="19:22" ht="20.100000000000001" customHeight="1" x14ac:dyDescent="0.2">
      <c r="S281" s="6"/>
      <c r="T281" s="6"/>
      <c r="U281" s="6"/>
      <c r="V281" s="6"/>
    </row>
    <row r="282" spans="19:22" ht="20.100000000000001" customHeight="1" x14ac:dyDescent="0.2">
      <c r="S282" s="6"/>
      <c r="T282" s="6"/>
      <c r="U282" s="6"/>
      <c r="V282" s="6"/>
    </row>
    <row r="283" spans="19:22" ht="20.100000000000001" customHeight="1" x14ac:dyDescent="0.2">
      <c r="S283" s="6"/>
      <c r="T283" s="6"/>
      <c r="U283" s="6"/>
      <c r="V283" s="6"/>
    </row>
    <row r="284" spans="19:22" ht="20.100000000000001" customHeight="1" x14ac:dyDescent="0.2">
      <c r="S284" s="6"/>
      <c r="T284" s="6"/>
      <c r="U284" s="6"/>
      <c r="V284" s="6"/>
    </row>
    <row r="285" spans="19:22" ht="20.100000000000001" customHeight="1" x14ac:dyDescent="0.2">
      <c r="S285" s="6"/>
      <c r="T285" s="6"/>
      <c r="U285" s="6"/>
      <c r="V285" s="6"/>
    </row>
    <row r="286" spans="19:22" ht="20.100000000000001" customHeight="1" x14ac:dyDescent="0.2">
      <c r="S286" s="6"/>
      <c r="T286" s="6"/>
      <c r="U286" s="6"/>
      <c r="V286" s="6"/>
    </row>
    <row r="287" spans="19:22" ht="20.100000000000001" customHeight="1" x14ac:dyDescent="0.2">
      <c r="S287" s="6"/>
      <c r="T287" s="6"/>
      <c r="U287" s="6"/>
      <c r="V287" s="6"/>
    </row>
    <row r="288" spans="19:22" ht="20.100000000000001" customHeight="1" x14ac:dyDescent="0.2">
      <c r="S288" s="6"/>
      <c r="T288" s="6"/>
      <c r="U288" s="6"/>
      <c r="V288" s="6"/>
    </row>
    <row r="289" spans="19:22" ht="20.100000000000001" customHeight="1" x14ac:dyDescent="0.2">
      <c r="S289" s="6"/>
      <c r="T289" s="6"/>
      <c r="U289" s="6"/>
      <c r="V289" s="6"/>
    </row>
    <row r="290" spans="19:22" ht="20.100000000000001" customHeight="1" x14ac:dyDescent="0.2">
      <c r="S290" s="6"/>
      <c r="T290" s="6"/>
      <c r="U290" s="6"/>
      <c r="V290" s="6"/>
    </row>
    <row r="291" spans="19:22" ht="20.100000000000001" customHeight="1" x14ac:dyDescent="0.2">
      <c r="S291" s="6"/>
      <c r="T291" s="6"/>
      <c r="U291" s="6"/>
      <c r="V291" s="6"/>
    </row>
    <row r="292" spans="19:22" ht="20.100000000000001" customHeight="1" x14ac:dyDescent="0.2">
      <c r="S292" s="6"/>
      <c r="T292" s="6"/>
      <c r="U292" s="6"/>
      <c r="V292" s="6"/>
    </row>
    <row r="293" spans="19:22" ht="20.100000000000001" customHeight="1" x14ac:dyDescent="0.2">
      <c r="S293" s="6"/>
      <c r="T293" s="6"/>
      <c r="U293" s="6"/>
      <c r="V293" s="6"/>
    </row>
    <row r="294" spans="19:22" ht="20.100000000000001" customHeight="1" x14ac:dyDescent="0.2">
      <c r="S294" s="6"/>
      <c r="T294" s="6"/>
      <c r="U294" s="6"/>
      <c r="V294" s="6"/>
    </row>
    <row r="295" spans="19:22" ht="20.100000000000001" customHeight="1" x14ac:dyDescent="0.2">
      <c r="S295" s="6"/>
      <c r="T295" s="6"/>
      <c r="U295" s="6"/>
      <c r="V295" s="6"/>
    </row>
    <row r="296" spans="19:22" ht="20.100000000000001" customHeight="1" x14ac:dyDescent="0.2">
      <c r="S296" s="6"/>
      <c r="T296" s="6"/>
      <c r="U296" s="6"/>
      <c r="V296" s="6"/>
    </row>
    <row r="297" spans="19:22" ht="20.100000000000001" customHeight="1" x14ac:dyDescent="0.2">
      <c r="S297" s="6"/>
      <c r="T297" s="6"/>
      <c r="U297" s="6"/>
      <c r="V297" s="6"/>
    </row>
    <row r="298" spans="19:22" ht="20.100000000000001" customHeight="1" x14ac:dyDescent="0.2">
      <c r="S298" s="6"/>
      <c r="T298" s="6"/>
      <c r="U298" s="6"/>
      <c r="V298" s="6"/>
    </row>
    <row r="299" spans="19:22" ht="20.100000000000001" customHeight="1" x14ac:dyDescent="0.2">
      <c r="S299" s="6"/>
      <c r="T299" s="6"/>
      <c r="U299" s="6"/>
      <c r="V299" s="6"/>
    </row>
    <row r="300" spans="19:22" ht="20.100000000000001" customHeight="1" x14ac:dyDescent="0.2">
      <c r="S300" s="6"/>
      <c r="T300" s="6"/>
      <c r="U300" s="6"/>
      <c r="V300" s="6"/>
    </row>
    <row r="301" spans="19:22" ht="20.100000000000001" customHeight="1" x14ac:dyDescent="0.2">
      <c r="S301" s="6"/>
      <c r="T301" s="6"/>
      <c r="U301" s="6"/>
      <c r="V301" s="6"/>
    </row>
    <row r="302" spans="19:22" ht="20.100000000000001" customHeight="1" x14ac:dyDescent="0.2">
      <c r="S302" s="6"/>
      <c r="T302" s="6"/>
      <c r="U302" s="6"/>
      <c r="V302" s="6"/>
    </row>
    <row r="303" spans="19:22" ht="20.100000000000001" customHeight="1" x14ac:dyDescent="0.2">
      <c r="S303" s="6"/>
      <c r="T303" s="6"/>
      <c r="U303" s="6"/>
      <c r="V303" s="6"/>
    </row>
    <row r="304" spans="19:22" ht="20.100000000000001" customHeight="1" x14ac:dyDescent="0.2">
      <c r="S304" s="6"/>
      <c r="T304" s="6"/>
      <c r="U304" s="6"/>
      <c r="V304" s="6"/>
    </row>
    <row r="305" spans="19:22" ht="20.100000000000001" customHeight="1" x14ac:dyDescent="0.2">
      <c r="S305" s="6"/>
      <c r="T305" s="6"/>
      <c r="U305" s="6"/>
      <c r="V305" s="6"/>
    </row>
    <row r="306" spans="19:22" ht="20.100000000000001" customHeight="1" x14ac:dyDescent="0.2">
      <c r="S306" s="6"/>
      <c r="T306" s="6"/>
      <c r="U306" s="6"/>
      <c r="V306" s="6"/>
    </row>
    <row r="307" spans="19:22" ht="20.100000000000001" customHeight="1" x14ac:dyDescent="0.2">
      <c r="S307" s="6"/>
      <c r="T307" s="6"/>
      <c r="U307" s="6"/>
      <c r="V307" s="6"/>
    </row>
    <row r="308" spans="19:22" ht="20.100000000000001" customHeight="1" x14ac:dyDescent="0.2">
      <c r="S308" s="6"/>
      <c r="T308" s="6"/>
      <c r="U308" s="6"/>
      <c r="V308" s="6"/>
    </row>
    <row r="309" spans="19:22" ht="20.100000000000001" customHeight="1" x14ac:dyDescent="0.2">
      <c r="S309" s="6"/>
      <c r="T309" s="6"/>
      <c r="U309" s="6"/>
      <c r="V309" s="6"/>
    </row>
    <row r="310" spans="19:22" ht="20.100000000000001" customHeight="1" x14ac:dyDescent="0.2">
      <c r="S310" s="6"/>
      <c r="T310" s="6"/>
      <c r="U310" s="6"/>
      <c r="V310" s="6"/>
    </row>
    <row r="311" spans="19:22" ht="20.100000000000001" customHeight="1" x14ac:dyDescent="0.2">
      <c r="S311" s="6"/>
      <c r="T311" s="6"/>
      <c r="U311" s="6"/>
      <c r="V311" s="6"/>
    </row>
    <row r="312" spans="19:22" ht="20.100000000000001" customHeight="1" x14ac:dyDescent="0.2">
      <c r="S312" s="6"/>
      <c r="T312" s="6"/>
      <c r="U312" s="6"/>
      <c r="V312" s="6"/>
    </row>
    <row r="313" spans="19:22" ht="20.100000000000001" customHeight="1" x14ac:dyDescent="0.2">
      <c r="S313" s="6"/>
      <c r="T313" s="6"/>
      <c r="U313" s="6"/>
      <c r="V313" s="6"/>
    </row>
    <row r="314" spans="19:22" ht="20.100000000000001" customHeight="1" x14ac:dyDescent="0.2">
      <c r="S314" s="6"/>
      <c r="T314" s="6"/>
      <c r="U314" s="6"/>
      <c r="V314" s="6"/>
    </row>
    <row r="315" spans="19:22" ht="20.100000000000001" customHeight="1" x14ac:dyDescent="0.2">
      <c r="S315" s="6"/>
      <c r="T315" s="6"/>
      <c r="U315" s="6"/>
      <c r="V315" s="6"/>
    </row>
    <row r="316" spans="19:22" ht="20.100000000000001" customHeight="1" x14ac:dyDescent="0.2">
      <c r="S316" s="6"/>
      <c r="T316" s="6"/>
      <c r="U316" s="6"/>
      <c r="V316" s="6"/>
    </row>
    <row r="317" spans="19:22" ht="20.100000000000001" customHeight="1" x14ac:dyDescent="0.2">
      <c r="S317" s="6"/>
      <c r="T317" s="6"/>
      <c r="U317" s="6"/>
      <c r="V317" s="6"/>
    </row>
    <row r="318" spans="19:22" ht="20.100000000000001" customHeight="1" x14ac:dyDescent="0.2">
      <c r="S318" s="6"/>
      <c r="T318" s="6"/>
      <c r="U318" s="6"/>
      <c r="V318" s="6"/>
    </row>
    <row r="319" spans="19:22" ht="20.100000000000001" customHeight="1" x14ac:dyDescent="0.2">
      <c r="S319" s="6"/>
      <c r="T319" s="6"/>
      <c r="U319" s="6"/>
      <c r="V319" s="6"/>
    </row>
    <row r="320" spans="19:22" ht="20.100000000000001" customHeight="1" x14ac:dyDescent="0.2">
      <c r="S320" s="6"/>
      <c r="T320" s="6"/>
      <c r="U320" s="6"/>
      <c r="V320" s="6"/>
    </row>
    <row r="321" spans="19:22" ht="20.100000000000001" customHeight="1" x14ac:dyDescent="0.2">
      <c r="S321" s="6"/>
      <c r="T321" s="6"/>
      <c r="U321" s="6"/>
      <c r="V321" s="6"/>
    </row>
    <row r="322" spans="19:22" ht="20.100000000000001" customHeight="1" x14ac:dyDescent="0.2">
      <c r="S322" s="6"/>
      <c r="T322" s="6"/>
      <c r="U322" s="6"/>
      <c r="V322" s="6"/>
    </row>
    <row r="323" spans="19:22" ht="20.100000000000001" customHeight="1" x14ac:dyDescent="0.2">
      <c r="S323" s="6"/>
      <c r="T323" s="6"/>
      <c r="U323" s="6"/>
      <c r="V323" s="6"/>
    </row>
    <row r="324" spans="19:22" ht="20.100000000000001" customHeight="1" x14ac:dyDescent="0.2">
      <c r="S324" s="6"/>
      <c r="T324" s="6"/>
      <c r="U324" s="6"/>
      <c r="V324" s="6"/>
    </row>
    <row r="325" spans="19:22" ht="20.100000000000001" customHeight="1" x14ac:dyDescent="0.2">
      <c r="S325" s="6"/>
      <c r="T325" s="6"/>
      <c r="U325" s="6"/>
      <c r="V325" s="6"/>
    </row>
    <row r="326" spans="19:22" ht="20.100000000000001" customHeight="1" x14ac:dyDescent="0.2">
      <c r="S326" s="6"/>
      <c r="T326" s="6"/>
      <c r="U326" s="6"/>
      <c r="V326" s="6"/>
    </row>
    <row r="327" spans="19:22" ht="20.100000000000001" customHeight="1" x14ac:dyDescent="0.2">
      <c r="S327" s="6"/>
      <c r="T327" s="6"/>
      <c r="U327" s="6"/>
      <c r="V327" s="6"/>
    </row>
    <row r="328" spans="19:22" ht="20.100000000000001" customHeight="1" x14ac:dyDescent="0.2">
      <c r="S328" s="6"/>
      <c r="T328" s="6"/>
      <c r="U328" s="6"/>
      <c r="V328" s="6"/>
    </row>
    <row r="329" spans="19:22" ht="20.100000000000001" customHeight="1" x14ac:dyDescent="0.2">
      <c r="S329" s="6"/>
      <c r="T329" s="6"/>
      <c r="U329" s="6"/>
      <c r="V329" s="6"/>
    </row>
    <row r="330" spans="19:22" ht="20.100000000000001" customHeight="1" x14ac:dyDescent="0.2">
      <c r="S330" s="6"/>
      <c r="T330" s="6"/>
      <c r="U330" s="6"/>
      <c r="V330" s="6"/>
    </row>
    <row r="331" spans="19:22" ht="20.100000000000001" customHeight="1" x14ac:dyDescent="0.2">
      <c r="S331" s="6"/>
      <c r="T331" s="6"/>
      <c r="U331" s="6"/>
      <c r="V331" s="6"/>
    </row>
    <row r="332" spans="19:22" ht="20.100000000000001" customHeight="1" x14ac:dyDescent="0.2">
      <c r="S332" s="6"/>
      <c r="T332" s="6"/>
      <c r="U332" s="6"/>
      <c r="V332" s="6"/>
    </row>
    <row r="333" spans="19:22" ht="20.100000000000001" customHeight="1" x14ac:dyDescent="0.2">
      <c r="S333" s="6"/>
      <c r="T333" s="6"/>
      <c r="U333" s="6"/>
      <c r="V333" s="6"/>
    </row>
    <row r="334" spans="19:22" ht="20.100000000000001" customHeight="1" x14ac:dyDescent="0.2">
      <c r="S334" s="6"/>
      <c r="T334" s="6"/>
      <c r="U334" s="6"/>
      <c r="V334" s="6"/>
    </row>
    <row r="335" spans="19:22" ht="20.100000000000001" customHeight="1" x14ac:dyDescent="0.2">
      <c r="S335" s="6"/>
      <c r="T335" s="6"/>
      <c r="U335" s="6"/>
      <c r="V335" s="6"/>
    </row>
    <row r="336" spans="19:22" ht="20.100000000000001" customHeight="1" x14ac:dyDescent="0.2">
      <c r="S336" s="6"/>
      <c r="T336" s="6"/>
      <c r="U336" s="6"/>
      <c r="V336" s="6"/>
    </row>
    <row r="337" spans="19:22" ht="20.100000000000001" customHeight="1" x14ac:dyDescent="0.2">
      <c r="S337" s="6"/>
      <c r="T337" s="6"/>
      <c r="U337" s="6"/>
      <c r="V337" s="6"/>
    </row>
    <row r="338" spans="19:22" ht="20.100000000000001" customHeight="1" x14ac:dyDescent="0.2">
      <c r="S338" s="6"/>
      <c r="T338" s="6"/>
      <c r="U338" s="6"/>
      <c r="V338" s="6"/>
    </row>
    <row r="339" spans="19:22" ht="20.100000000000001" customHeight="1" x14ac:dyDescent="0.2">
      <c r="S339" s="6"/>
      <c r="T339" s="6"/>
      <c r="U339" s="6"/>
      <c r="V339" s="6"/>
    </row>
    <row r="340" spans="19:22" ht="20.100000000000001" customHeight="1" x14ac:dyDescent="0.2">
      <c r="S340" s="6"/>
      <c r="T340" s="6"/>
      <c r="U340" s="6"/>
      <c r="V340" s="6"/>
    </row>
    <row r="341" spans="19:22" ht="20.100000000000001" customHeight="1" x14ac:dyDescent="0.2">
      <c r="S341" s="6"/>
      <c r="T341" s="6"/>
      <c r="U341" s="6"/>
      <c r="V341" s="6"/>
    </row>
    <row r="342" spans="19:22" ht="20.100000000000001" customHeight="1" x14ac:dyDescent="0.2">
      <c r="S342" s="6"/>
      <c r="T342" s="6"/>
      <c r="U342" s="6"/>
      <c r="V342" s="6"/>
    </row>
    <row r="343" spans="19:22" ht="20.100000000000001" customHeight="1" x14ac:dyDescent="0.2">
      <c r="S343" s="6"/>
      <c r="T343" s="6"/>
      <c r="U343" s="6"/>
      <c r="V343" s="6"/>
    </row>
    <row r="344" spans="19:22" ht="20.100000000000001" customHeight="1" x14ac:dyDescent="0.2">
      <c r="S344" s="6"/>
      <c r="T344" s="6"/>
      <c r="U344" s="6"/>
      <c r="V344" s="6"/>
    </row>
    <row r="345" spans="19:22" ht="20.100000000000001" customHeight="1" x14ac:dyDescent="0.2">
      <c r="S345" s="6"/>
      <c r="T345" s="6"/>
      <c r="U345" s="6"/>
      <c r="V345" s="6"/>
    </row>
    <row r="346" spans="19:22" ht="20.100000000000001" customHeight="1" x14ac:dyDescent="0.2">
      <c r="S346" s="6"/>
      <c r="T346" s="6"/>
      <c r="U346" s="6"/>
      <c r="V346" s="6"/>
    </row>
    <row r="347" spans="19:22" ht="20.100000000000001" customHeight="1" x14ac:dyDescent="0.2">
      <c r="S347" s="6"/>
      <c r="T347" s="6"/>
      <c r="U347" s="6"/>
      <c r="V347" s="6"/>
    </row>
  </sheetData>
  <mergeCells count="5">
    <mergeCell ref="P1:Q1"/>
    <mergeCell ref="R1:S1"/>
    <mergeCell ref="P2:S2"/>
    <mergeCell ref="P3:S3"/>
    <mergeCell ref="A203:L203"/>
  </mergeCells>
  <conditionalFormatting sqref="Q6:Q15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BORDER ITEM CODE</vt:lpstr>
      <vt:lpstr>MASTER</vt:lpstr>
      <vt:lpstr>ENTRY INSTRUCTIONS</vt:lpstr>
      <vt:lpstr>WIP</vt:lpstr>
      <vt:lpstr>SERGER</vt:lpstr>
      <vt:lpstr>BORDER</vt:lpstr>
      <vt:lpstr>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2026-03-03T11:32:55Z</dcterms:modified>
</cp:coreProperties>
</file>