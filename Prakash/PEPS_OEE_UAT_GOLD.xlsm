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Hari JR. DATA\Macro_DB\Prakash\"/>
    </mc:Choice>
  </mc:AlternateContent>
  <xr:revisionPtr revIDLastSave="0" documentId="13_ncr:1_{68CEA55E-08E7-4A19-8255-39E71DC118AD}" xr6:coauthVersionLast="47" xr6:coauthVersionMax="47" xr10:uidLastSave="{00000000-0000-0000-0000-000000000000}"/>
  <bookViews>
    <workbookView xWindow="-120" yWindow="-120" windowWidth="29040" windowHeight="16440" tabRatio="500" firstSheet="1" activeTab="2" xr2:uid="{00000000-000D-0000-FFFF-FFFF00000000}"/>
  </bookViews>
  <sheets>
    <sheet name="README" sheetId="1" r:id="rId1"/>
    <sheet name="Machine_Master" sheetId="2" r:id="rId2"/>
    <sheet name="Simple_Input" sheetId="3" r:id="rId3"/>
    <sheet name="Production_Details" sheetId="4" r:id="rId4"/>
    <sheet name="OEE_Summary" sheetId="5" r:id="rId5"/>
    <sheet name="OEE_Log_All" sheetId="6" r:id="rId6"/>
    <sheet name="History_Log" sheetId="7" r:id="rId7"/>
    <sheet name="_Lists" sheetId="8" r:id="rId8"/>
  </sheets>
  <definedNames>
    <definedName name="_xlnm._FilterDatabase" localSheetId="6" hidden="1">History_Log!$A$1:$O$1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39" i="6" l="1"/>
  <c r="H39" i="6"/>
  <c r="G39" i="6"/>
  <c r="E39" i="6"/>
  <c r="D39" i="6"/>
  <c r="C39" i="6"/>
  <c r="L39" i="6" s="1"/>
  <c r="A39" i="6"/>
  <c r="S38" i="6"/>
  <c r="L38" i="6"/>
  <c r="I38" i="6"/>
  <c r="H38" i="6"/>
  <c r="G38" i="6"/>
  <c r="D38" i="6"/>
  <c r="C38" i="6"/>
  <c r="F38" i="6" s="1"/>
  <c r="A38" i="6"/>
  <c r="S37" i="6"/>
  <c r="L37" i="6"/>
  <c r="I37" i="6"/>
  <c r="H37" i="6"/>
  <c r="G37" i="6"/>
  <c r="F37" i="6"/>
  <c r="E37" i="6"/>
  <c r="J37" i="6" s="1"/>
  <c r="K37" i="6" s="1"/>
  <c r="D37" i="6"/>
  <c r="C37" i="6"/>
  <c r="A37" i="6"/>
  <c r="S36" i="6"/>
  <c r="L36" i="6"/>
  <c r="J36" i="6"/>
  <c r="K36" i="6" s="1"/>
  <c r="Q36" i="6" s="1"/>
  <c r="I36" i="6"/>
  <c r="H36" i="6"/>
  <c r="G36" i="6"/>
  <c r="F36" i="6"/>
  <c r="E36" i="6"/>
  <c r="D36" i="6"/>
  <c r="C36" i="6"/>
  <c r="A36" i="6"/>
  <c r="S35" i="6"/>
  <c r="I35" i="6"/>
  <c r="H35" i="6"/>
  <c r="G35" i="6"/>
  <c r="D35" i="6"/>
  <c r="C35" i="6"/>
  <c r="F35" i="6" s="1"/>
  <c r="A35" i="6"/>
  <c r="L34" i="6"/>
  <c r="I34" i="6"/>
  <c r="H34" i="6"/>
  <c r="G34" i="6"/>
  <c r="F34" i="6"/>
  <c r="D34" i="6"/>
  <c r="C34" i="6"/>
  <c r="E34" i="6" s="1"/>
  <c r="J34" i="6" s="1"/>
  <c r="K34" i="6" s="1"/>
  <c r="Q34" i="6" s="1"/>
  <c r="A34" i="6"/>
  <c r="S33" i="6"/>
  <c r="I33" i="6"/>
  <c r="H33" i="6"/>
  <c r="G33" i="6"/>
  <c r="D33" i="6"/>
  <c r="C33" i="6"/>
  <c r="F33" i="6" s="1"/>
  <c r="A33" i="6"/>
  <c r="S32" i="6"/>
  <c r="I32" i="6"/>
  <c r="H32" i="6"/>
  <c r="G32" i="6"/>
  <c r="F32" i="6"/>
  <c r="J32" i="6" s="1"/>
  <c r="K32" i="6" s="1"/>
  <c r="Q32" i="6" s="1"/>
  <c r="E32" i="6"/>
  <c r="D32" i="6"/>
  <c r="C32" i="6"/>
  <c r="L32" i="6" s="1"/>
  <c r="M32" i="6" s="1"/>
  <c r="A32" i="6"/>
  <c r="I31" i="6"/>
  <c r="H31" i="6"/>
  <c r="G31" i="6"/>
  <c r="E31" i="6"/>
  <c r="D31" i="6"/>
  <c r="C31" i="6"/>
  <c r="L31" i="6" s="1"/>
  <c r="A31" i="6"/>
  <c r="S30" i="6"/>
  <c r="L30" i="6"/>
  <c r="I30" i="6"/>
  <c r="H30" i="6"/>
  <c r="G30" i="6"/>
  <c r="D30" i="6"/>
  <c r="C30" i="6"/>
  <c r="F30" i="6" s="1"/>
  <c r="A30" i="6"/>
  <c r="S29" i="6"/>
  <c r="L29" i="6"/>
  <c r="I29" i="6"/>
  <c r="H29" i="6"/>
  <c r="G29" i="6"/>
  <c r="F29" i="6"/>
  <c r="E29" i="6"/>
  <c r="J29" i="6" s="1"/>
  <c r="K29" i="6" s="1"/>
  <c r="D29" i="6"/>
  <c r="C29" i="6"/>
  <c r="A29" i="6"/>
  <c r="S28" i="6"/>
  <c r="L28" i="6"/>
  <c r="J28" i="6"/>
  <c r="K28" i="6" s="1"/>
  <c r="Q28" i="6" s="1"/>
  <c r="I28" i="6"/>
  <c r="H28" i="6"/>
  <c r="G28" i="6"/>
  <c r="F28" i="6"/>
  <c r="E28" i="6"/>
  <c r="D28" i="6"/>
  <c r="C28" i="6"/>
  <c r="A28" i="6"/>
  <c r="S27" i="6"/>
  <c r="I27" i="6"/>
  <c r="H27" i="6"/>
  <c r="G27" i="6"/>
  <c r="D27" i="6"/>
  <c r="C27" i="6"/>
  <c r="F27" i="6" s="1"/>
  <c r="A27" i="6"/>
  <c r="L26" i="6"/>
  <c r="M26" i="6" s="1"/>
  <c r="I26" i="6"/>
  <c r="H26" i="6"/>
  <c r="G26" i="6"/>
  <c r="F26" i="6"/>
  <c r="D26" i="6"/>
  <c r="C26" i="6"/>
  <c r="E26" i="6" s="1"/>
  <c r="J26" i="6" s="1"/>
  <c r="K26" i="6" s="1"/>
  <c r="Q26" i="6" s="1"/>
  <c r="A26" i="6"/>
  <c r="S25" i="6"/>
  <c r="I25" i="6"/>
  <c r="H25" i="6"/>
  <c r="G25" i="6"/>
  <c r="D25" i="6"/>
  <c r="C25" i="6"/>
  <c r="F25" i="6" s="1"/>
  <c r="A25" i="6"/>
  <c r="S24" i="6"/>
  <c r="I24" i="6"/>
  <c r="H24" i="6"/>
  <c r="G24" i="6"/>
  <c r="F24" i="6"/>
  <c r="J24" i="6" s="1"/>
  <c r="K24" i="6" s="1"/>
  <c r="Q24" i="6" s="1"/>
  <c r="E24" i="6"/>
  <c r="D24" i="6"/>
  <c r="C24" i="6"/>
  <c r="L24" i="6" s="1"/>
  <c r="M24" i="6" s="1"/>
  <c r="A24" i="6"/>
  <c r="I23" i="6"/>
  <c r="H23" i="6"/>
  <c r="G23" i="6"/>
  <c r="E23" i="6"/>
  <c r="D23" i="6"/>
  <c r="C23" i="6"/>
  <c r="L23" i="6" s="1"/>
  <c r="A23" i="6"/>
  <c r="S22" i="6"/>
  <c r="L22" i="6"/>
  <c r="I22" i="6"/>
  <c r="H22" i="6"/>
  <c r="G22" i="6"/>
  <c r="D22" i="6"/>
  <c r="C22" i="6"/>
  <c r="F22" i="6" s="1"/>
  <c r="A22" i="6"/>
  <c r="S21" i="6"/>
  <c r="L21" i="6"/>
  <c r="I21" i="6"/>
  <c r="H21" i="6"/>
  <c r="G21" i="6"/>
  <c r="F21" i="6"/>
  <c r="E21" i="6"/>
  <c r="J21" i="6" s="1"/>
  <c r="K21" i="6" s="1"/>
  <c r="D21" i="6"/>
  <c r="C21" i="6"/>
  <c r="A21" i="6"/>
  <c r="S20" i="6"/>
  <c r="L20" i="6"/>
  <c r="J20" i="6"/>
  <c r="K20" i="6" s="1"/>
  <c r="Q20" i="6" s="1"/>
  <c r="I20" i="6"/>
  <c r="H20" i="6"/>
  <c r="G20" i="6"/>
  <c r="F20" i="6"/>
  <c r="E20" i="6"/>
  <c r="D20" i="6"/>
  <c r="C20" i="6"/>
  <c r="A20" i="6"/>
  <c r="S19" i="6"/>
  <c r="I19" i="6"/>
  <c r="H19" i="6"/>
  <c r="G19" i="6"/>
  <c r="D19" i="6"/>
  <c r="C19" i="6"/>
  <c r="F19" i="6" s="1"/>
  <c r="A19" i="6"/>
  <c r="L18" i="6"/>
  <c r="I18" i="6"/>
  <c r="H18" i="6"/>
  <c r="G18" i="6"/>
  <c r="F18" i="6"/>
  <c r="D18" i="6"/>
  <c r="C18" i="6"/>
  <c r="E18" i="6" s="1"/>
  <c r="J18" i="6" s="1"/>
  <c r="K18" i="6" s="1"/>
  <c r="Q18" i="6" s="1"/>
  <c r="A18" i="6"/>
  <c r="S17" i="6"/>
  <c r="I17" i="6"/>
  <c r="H17" i="6"/>
  <c r="G17" i="6"/>
  <c r="D17" i="6"/>
  <c r="C17" i="6"/>
  <c r="F17" i="6" s="1"/>
  <c r="A17" i="6"/>
  <c r="S16" i="6"/>
  <c r="I16" i="6"/>
  <c r="H16" i="6"/>
  <c r="G16" i="6"/>
  <c r="F16" i="6"/>
  <c r="J16" i="6" s="1"/>
  <c r="K16" i="6" s="1"/>
  <c r="Q16" i="6" s="1"/>
  <c r="E16" i="6"/>
  <c r="D16" i="6"/>
  <c r="C16" i="6"/>
  <c r="L16" i="6" s="1"/>
  <c r="A16" i="6"/>
  <c r="I15" i="6"/>
  <c r="H15" i="6"/>
  <c r="G15" i="6"/>
  <c r="E15" i="6"/>
  <c r="D15" i="6"/>
  <c r="C15" i="6"/>
  <c r="L15" i="6" s="1"/>
  <c r="A15" i="6"/>
  <c r="S14" i="6"/>
  <c r="L14" i="6"/>
  <c r="I14" i="6"/>
  <c r="H14" i="6"/>
  <c r="G14" i="6"/>
  <c r="D14" i="6"/>
  <c r="C14" i="6"/>
  <c r="F14" i="6" s="1"/>
  <c r="A14" i="6"/>
  <c r="S13" i="6"/>
  <c r="L13" i="6"/>
  <c r="I13" i="6"/>
  <c r="H13" i="6"/>
  <c r="G13" i="6"/>
  <c r="F13" i="6"/>
  <c r="E13" i="6"/>
  <c r="J13" i="6" s="1"/>
  <c r="K13" i="6" s="1"/>
  <c r="D13" i="6"/>
  <c r="C13" i="6"/>
  <c r="A13" i="6"/>
  <c r="S12" i="6"/>
  <c r="L12" i="6"/>
  <c r="M12" i="6" s="1"/>
  <c r="R12" i="6" s="1"/>
  <c r="J12" i="6"/>
  <c r="K12" i="6" s="1"/>
  <c r="Q12" i="6" s="1"/>
  <c r="I12" i="6"/>
  <c r="H12" i="6"/>
  <c r="G12" i="6"/>
  <c r="F12" i="6"/>
  <c r="E12" i="6"/>
  <c r="D12" i="6"/>
  <c r="C12" i="6"/>
  <c r="A12" i="6"/>
  <c r="S11" i="6"/>
  <c r="I11" i="6"/>
  <c r="H11" i="6"/>
  <c r="G11" i="6"/>
  <c r="D11" i="6"/>
  <c r="C11" i="6"/>
  <c r="F11" i="6" s="1"/>
  <c r="A11" i="6"/>
  <c r="L10" i="6"/>
  <c r="I10" i="6"/>
  <c r="H10" i="6"/>
  <c r="G10" i="6"/>
  <c r="F10" i="6"/>
  <c r="D10" i="6"/>
  <c r="C10" i="6"/>
  <c r="E10" i="6" s="1"/>
  <c r="J10" i="6" s="1"/>
  <c r="K10" i="6" s="1"/>
  <c r="Q10" i="6" s="1"/>
  <c r="A10" i="6"/>
  <c r="S9" i="6"/>
  <c r="I9" i="6"/>
  <c r="H9" i="6"/>
  <c r="G9" i="6"/>
  <c r="D9" i="6"/>
  <c r="C9" i="6"/>
  <c r="A9" i="6"/>
  <c r="S8" i="6"/>
  <c r="I8" i="6"/>
  <c r="H8" i="6"/>
  <c r="G8" i="6"/>
  <c r="F8" i="6"/>
  <c r="J8" i="6" s="1"/>
  <c r="E8" i="6"/>
  <c r="D8" i="6"/>
  <c r="C8" i="6"/>
  <c r="L8" i="6" s="1"/>
  <c r="A8" i="6"/>
  <c r="I7" i="6"/>
  <c r="H7" i="6"/>
  <c r="G7" i="6"/>
  <c r="E7" i="6"/>
  <c r="D7" i="6"/>
  <c r="C7" i="6"/>
  <c r="L7" i="6" s="1"/>
  <c r="A7" i="6"/>
  <c r="S6" i="6"/>
  <c r="L6" i="6"/>
  <c r="I6" i="6"/>
  <c r="H6" i="6"/>
  <c r="G6" i="6"/>
  <c r="D6" i="6"/>
  <c r="C6" i="6"/>
  <c r="F6" i="6" s="1"/>
  <c r="A6" i="6"/>
  <c r="S5" i="6"/>
  <c r="L5" i="6"/>
  <c r="I5" i="6"/>
  <c r="H5" i="6"/>
  <c r="G5" i="6"/>
  <c r="F5" i="6"/>
  <c r="E5" i="6"/>
  <c r="J5" i="6" s="1"/>
  <c r="K5" i="6" s="1"/>
  <c r="D5" i="6"/>
  <c r="C5" i="6"/>
  <c r="A5" i="6"/>
  <c r="S4" i="6"/>
  <c r="L4" i="6"/>
  <c r="J4" i="6"/>
  <c r="K4" i="6" s="1"/>
  <c r="Q4" i="6" s="1"/>
  <c r="I4" i="6"/>
  <c r="H4" i="6"/>
  <c r="G4" i="6"/>
  <c r="F4" i="6"/>
  <c r="E4" i="6"/>
  <c r="D4" i="6"/>
  <c r="C4" i="6"/>
  <c r="A4" i="6"/>
  <c r="S3" i="6"/>
  <c r="I3" i="6"/>
  <c r="H3" i="6"/>
  <c r="G3" i="6"/>
  <c r="D3" i="6"/>
  <c r="C3" i="6"/>
  <c r="F3" i="6" s="1"/>
  <c r="A3" i="6"/>
  <c r="L2" i="6"/>
  <c r="I2" i="6"/>
  <c r="H2" i="6"/>
  <c r="G2" i="6"/>
  <c r="F2" i="6"/>
  <c r="D2" i="6"/>
  <c r="C2" i="6"/>
  <c r="E2" i="6" s="1"/>
  <c r="J2" i="6" s="1"/>
  <c r="K2" i="6" s="1"/>
  <c r="Q2" i="6" s="1"/>
  <c r="A2" i="6"/>
  <c r="C2" i="5"/>
  <c r="J26" i="4"/>
  <c r="F26" i="4"/>
  <c r="D26" i="4"/>
  <c r="H26" i="4" s="1"/>
  <c r="I26" i="4" s="1"/>
  <c r="J25" i="4"/>
  <c r="F25" i="4"/>
  <c r="F27" i="4" s="1"/>
  <c r="E25" i="4"/>
  <c r="D25" i="4"/>
  <c r="J23" i="4"/>
  <c r="H23" i="4"/>
  <c r="F23" i="4"/>
  <c r="D23" i="4"/>
  <c r="J22" i="4"/>
  <c r="F22" i="4"/>
  <c r="D22" i="4"/>
  <c r="J21" i="4"/>
  <c r="F21" i="4"/>
  <c r="D21" i="4"/>
  <c r="H21" i="4" s="1"/>
  <c r="J20" i="4"/>
  <c r="F20" i="4"/>
  <c r="F24" i="4" s="1"/>
  <c r="D20" i="4"/>
  <c r="J19" i="4"/>
  <c r="F19" i="4"/>
  <c r="D19" i="4"/>
  <c r="H19" i="4" s="1"/>
  <c r="J18" i="4"/>
  <c r="F18" i="4"/>
  <c r="D18" i="4"/>
  <c r="H18" i="4" s="1"/>
  <c r="I18" i="4" s="1"/>
  <c r="J17" i="4"/>
  <c r="F17" i="4"/>
  <c r="D17" i="4"/>
  <c r="J15" i="4"/>
  <c r="F15" i="4"/>
  <c r="D15" i="4"/>
  <c r="H15" i="4" s="1"/>
  <c r="I15" i="4" s="1"/>
  <c r="J14" i="4"/>
  <c r="F14" i="4"/>
  <c r="H14" i="4" s="1"/>
  <c r="D14" i="4"/>
  <c r="J13" i="4"/>
  <c r="F13" i="4"/>
  <c r="D13" i="4"/>
  <c r="D16" i="4" s="1"/>
  <c r="J11" i="4"/>
  <c r="F11" i="4"/>
  <c r="D11" i="4"/>
  <c r="H11" i="4" s="1"/>
  <c r="J10" i="4"/>
  <c r="F10" i="4"/>
  <c r="D10" i="4"/>
  <c r="H10" i="4" s="1"/>
  <c r="I10" i="4" s="1"/>
  <c r="J9" i="4"/>
  <c r="F9" i="4"/>
  <c r="F12" i="4" s="1"/>
  <c r="D9" i="4"/>
  <c r="H9" i="4" s="1"/>
  <c r="J7" i="4"/>
  <c r="F7" i="4"/>
  <c r="E7" i="4"/>
  <c r="D7" i="4"/>
  <c r="J6" i="4"/>
  <c r="F6" i="4"/>
  <c r="H6" i="4" s="1"/>
  <c r="E6" i="4"/>
  <c r="D6" i="4"/>
  <c r="J5" i="4"/>
  <c r="F5" i="4"/>
  <c r="E5" i="4"/>
  <c r="D5" i="4"/>
  <c r="J4" i="4"/>
  <c r="F4" i="4"/>
  <c r="D4" i="4"/>
  <c r="A1" i="4"/>
  <c r="D41" i="3"/>
  <c r="E26" i="4" s="1"/>
  <c r="G26" i="4" s="1"/>
  <c r="A41" i="3"/>
  <c r="B39" i="6" s="1"/>
  <c r="D40" i="3"/>
  <c r="A40" i="3"/>
  <c r="B38" i="6" s="1"/>
  <c r="D39" i="3"/>
  <c r="E23" i="4" s="1"/>
  <c r="A39" i="3"/>
  <c r="B37" i="6" s="1"/>
  <c r="D38" i="3"/>
  <c r="E22" i="4" s="1"/>
  <c r="A38" i="3"/>
  <c r="B36" i="6" s="1"/>
  <c r="D37" i="3"/>
  <c r="E21" i="4" s="1"/>
  <c r="A37" i="3"/>
  <c r="B35" i="6" s="1"/>
  <c r="D36" i="3"/>
  <c r="E20" i="4" s="1"/>
  <c r="A36" i="3"/>
  <c r="B34" i="6" s="1"/>
  <c r="D35" i="3"/>
  <c r="E19" i="4" s="1"/>
  <c r="A35" i="3"/>
  <c r="B33" i="6" s="1"/>
  <c r="D34" i="3"/>
  <c r="E18" i="4" s="1"/>
  <c r="A34" i="3"/>
  <c r="B32" i="6" s="1"/>
  <c r="D33" i="3"/>
  <c r="E17" i="4" s="1"/>
  <c r="A33" i="3"/>
  <c r="B31" i="6" s="1"/>
  <c r="D32" i="3"/>
  <c r="E15" i="4" s="1"/>
  <c r="A32" i="3"/>
  <c r="B30" i="6" s="1"/>
  <c r="D31" i="3"/>
  <c r="E14" i="4" s="1"/>
  <c r="A31" i="3"/>
  <c r="B29" i="6" s="1"/>
  <c r="D30" i="3"/>
  <c r="E13" i="4" s="1"/>
  <c r="A30" i="3"/>
  <c r="B28" i="6" s="1"/>
  <c r="D29" i="3"/>
  <c r="E11" i="4" s="1"/>
  <c r="G11" i="4" s="1"/>
  <c r="A29" i="3"/>
  <c r="B27" i="6" s="1"/>
  <c r="D28" i="3"/>
  <c r="E10" i="4" s="1"/>
  <c r="A28" i="3"/>
  <c r="B26" i="6" s="1"/>
  <c r="D27" i="3"/>
  <c r="E9" i="4" s="1"/>
  <c r="E12" i="4" s="1"/>
  <c r="A27" i="3"/>
  <c r="B25" i="6" s="1"/>
  <c r="D26" i="3"/>
  <c r="A26" i="3"/>
  <c r="B24" i="6" s="1"/>
  <c r="D25" i="3"/>
  <c r="A25" i="3"/>
  <c r="B23" i="6" s="1"/>
  <c r="D24" i="3"/>
  <c r="A24" i="3"/>
  <c r="B22" i="6" s="1"/>
  <c r="D23" i="3"/>
  <c r="E4" i="4" s="1"/>
  <c r="A23" i="3"/>
  <c r="B21" i="6" s="1"/>
  <c r="D21" i="3"/>
  <c r="C26" i="4" s="1"/>
  <c r="A21" i="3"/>
  <c r="B20" i="6" s="1"/>
  <c r="D20" i="3"/>
  <c r="C25" i="4" s="1"/>
  <c r="C27" i="4" s="1"/>
  <c r="A20" i="3"/>
  <c r="B19" i="6" s="1"/>
  <c r="D19" i="3"/>
  <c r="C23" i="4" s="1"/>
  <c r="A19" i="3"/>
  <c r="B18" i="6" s="1"/>
  <c r="D18" i="3"/>
  <c r="C22" i="4" s="1"/>
  <c r="G22" i="4" s="1"/>
  <c r="A18" i="3"/>
  <c r="B17" i="6" s="1"/>
  <c r="D17" i="3"/>
  <c r="C21" i="4" s="1"/>
  <c r="A17" i="3"/>
  <c r="B16" i="6" s="1"/>
  <c r="D16" i="3"/>
  <c r="C20" i="4" s="1"/>
  <c r="G20" i="4" s="1"/>
  <c r="A16" i="3"/>
  <c r="B15" i="6" s="1"/>
  <c r="D15" i="3"/>
  <c r="C19" i="4" s="1"/>
  <c r="A15" i="3"/>
  <c r="B14" i="6" s="1"/>
  <c r="D14" i="3"/>
  <c r="C18" i="4" s="1"/>
  <c r="G18" i="4" s="1"/>
  <c r="A14" i="3"/>
  <c r="B13" i="6" s="1"/>
  <c r="D13" i="3"/>
  <c r="C17" i="4" s="1"/>
  <c r="A13" i="3"/>
  <c r="B12" i="6" s="1"/>
  <c r="D12" i="3"/>
  <c r="C15" i="4" s="1"/>
  <c r="G15" i="4" s="1"/>
  <c r="A12" i="3"/>
  <c r="B11" i="6" s="1"/>
  <c r="D11" i="3"/>
  <c r="C14" i="4" s="1"/>
  <c r="A11" i="3"/>
  <c r="B10" i="6" s="1"/>
  <c r="D10" i="3"/>
  <c r="C13" i="4" s="1"/>
  <c r="A10" i="3"/>
  <c r="B9" i="6" s="1"/>
  <c r="D9" i="3"/>
  <c r="C11" i="4" s="1"/>
  <c r="A9" i="3"/>
  <c r="B8" i="6" s="1"/>
  <c r="D8" i="3"/>
  <c r="C10" i="4" s="1"/>
  <c r="G10" i="4" s="1"/>
  <c r="A8" i="3"/>
  <c r="B7" i="6" s="1"/>
  <c r="D7" i="3"/>
  <c r="C9" i="4" s="1"/>
  <c r="G9" i="4" s="1"/>
  <c r="A7" i="3"/>
  <c r="B6" i="6" s="1"/>
  <c r="D6" i="3"/>
  <c r="C7" i="4" s="1"/>
  <c r="G7" i="4" s="1"/>
  <c r="A6" i="3"/>
  <c r="B5" i="6" s="1"/>
  <c r="D5" i="3"/>
  <c r="C6" i="4" s="1"/>
  <c r="G6" i="4" s="1"/>
  <c r="A5" i="3"/>
  <c r="B4" i="6" s="1"/>
  <c r="D4" i="3"/>
  <c r="C5" i="4" s="1"/>
  <c r="G5" i="4" s="1"/>
  <c r="A4" i="3"/>
  <c r="B3" i="6" s="1"/>
  <c r="D3" i="3"/>
  <c r="C4" i="4" s="1"/>
  <c r="A3" i="3"/>
  <c r="B2" i="6" s="1"/>
  <c r="H4" i="4" l="1"/>
  <c r="H8" i="4" s="1"/>
  <c r="D27" i="4"/>
  <c r="F16" i="4"/>
  <c r="H13" i="4"/>
  <c r="H5" i="4"/>
  <c r="H7" i="4"/>
  <c r="I7" i="4" s="1"/>
  <c r="D24" i="4"/>
  <c r="H22" i="4"/>
  <c r="I22" i="4" s="1"/>
  <c r="F8" i="4"/>
  <c r="H20" i="4"/>
  <c r="I20" i="4" s="1"/>
  <c r="C28" i="4"/>
  <c r="G4" i="4"/>
  <c r="C8" i="4"/>
  <c r="G12" i="4"/>
  <c r="G14" i="4"/>
  <c r="I14" i="4" s="1"/>
  <c r="I5" i="4"/>
  <c r="E27" i="4"/>
  <c r="C16" i="4"/>
  <c r="G13" i="4"/>
  <c r="G16" i="4" s="1"/>
  <c r="I11" i="4"/>
  <c r="E28" i="4"/>
  <c r="E8" i="4"/>
  <c r="E16" i="4"/>
  <c r="I9" i="4"/>
  <c r="H12" i="4"/>
  <c r="I12" i="4" s="1"/>
  <c r="I4" i="4"/>
  <c r="I6" i="4"/>
  <c r="M4" i="6"/>
  <c r="R4" i="6" s="1"/>
  <c r="T4" i="6" s="1"/>
  <c r="M5" i="6"/>
  <c r="R5" i="6" s="1"/>
  <c r="Q5" i="6"/>
  <c r="M20" i="6"/>
  <c r="R20" i="6" s="1"/>
  <c r="T20" i="6" s="1"/>
  <c r="M29" i="6"/>
  <c r="Q29" i="6"/>
  <c r="F9" i="6"/>
  <c r="E9" i="6"/>
  <c r="J9" i="6" s="1"/>
  <c r="K9" i="6" s="1"/>
  <c r="Q9" i="6" s="1"/>
  <c r="C12" i="5" s="1"/>
  <c r="L9" i="6"/>
  <c r="M21" i="6"/>
  <c r="Q21" i="6"/>
  <c r="G21" i="4"/>
  <c r="I21" i="4" s="1"/>
  <c r="D12" i="4"/>
  <c r="H16" i="4"/>
  <c r="I16" i="4" s="1"/>
  <c r="F28" i="4"/>
  <c r="M2" i="6"/>
  <c r="M10" i="6"/>
  <c r="R10" i="6" s="1"/>
  <c r="M28" i="6"/>
  <c r="R28" i="6" s="1"/>
  <c r="T28" i="6" s="1"/>
  <c r="T36" i="6"/>
  <c r="M37" i="6"/>
  <c r="Q37" i="6"/>
  <c r="E24" i="4"/>
  <c r="J31" i="6"/>
  <c r="K31" i="6" s="1"/>
  <c r="Q31" i="6" s="1"/>
  <c r="R37" i="6"/>
  <c r="D21" i="5" s="1"/>
  <c r="C24" i="4"/>
  <c r="G17" i="4"/>
  <c r="D28" i="4"/>
  <c r="R2" i="6"/>
  <c r="S2" i="6"/>
  <c r="J7" i="6"/>
  <c r="K7" i="6" s="1"/>
  <c r="Q7" i="6" s="1"/>
  <c r="S10" i="6"/>
  <c r="M18" i="6"/>
  <c r="M36" i="6"/>
  <c r="R36" i="6" s="1"/>
  <c r="R26" i="6"/>
  <c r="M34" i="6"/>
  <c r="M8" i="6"/>
  <c r="R8" i="6" s="1"/>
  <c r="R18" i="6"/>
  <c r="C12" i="4"/>
  <c r="G19" i="4"/>
  <c r="I19" i="4" s="1"/>
  <c r="H17" i="4"/>
  <c r="G25" i="4"/>
  <c r="G27" i="4" s="1"/>
  <c r="C10" i="5"/>
  <c r="E23" i="5"/>
  <c r="E19" i="5"/>
  <c r="E17" i="5"/>
  <c r="E13" i="5"/>
  <c r="E11" i="5"/>
  <c r="E9" i="5"/>
  <c r="E29" i="5"/>
  <c r="E22" i="5"/>
  <c r="E20" i="5"/>
  <c r="E16" i="5"/>
  <c r="E14" i="5"/>
  <c r="E12" i="5"/>
  <c r="E8" i="5"/>
  <c r="E6" i="5"/>
  <c r="J15" i="6"/>
  <c r="K15" i="6" s="1"/>
  <c r="Q15" i="6" s="1"/>
  <c r="M16" i="6"/>
  <c r="R16" i="6" s="1"/>
  <c r="R21" i="6"/>
  <c r="D5" i="5" s="1"/>
  <c r="R24" i="6"/>
  <c r="T24" i="6" s="1"/>
  <c r="R34" i="6"/>
  <c r="G23" i="4"/>
  <c r="I23" i="4" s="1"/>
  <c r="K8" i="6"/>
  <c r="Q8" i="6" s="1"/>
  <c r="T12" i="6"/>
  <c r="M13" i="6"/>
  <c r="R13" i="6" s="1"/>
  <c r="Q13" i="6"/>
  <c r="C16" i="5" s="1"/>
  <c r="R29" i="6"/>
  <c r="R32" i="6"/>
  <c r="T32" i="6" s="1"/>
  <c r="D8" i="4"/>
  <c r="H25" i="4"/>
  <c r="F7" i="6"/>
  <c r="F15" i="6"/>
  <c r="L17" i="6"/>
  <c r="M17" i="6" s="1"/>
  <c r="R17" i="6" s="1"/>
  <c r="D20" i="5" s="1"/>
  <c r="F23" i="6"/>
  <c r="J23" i="6" s="1"/>
  <c r="K23" i="6" s="1"/>
  <c r="L25" i="6"/>
  <c r="F31" i="6"/>
  <c r="L33" i="6"/>
  <c r="M33" i="6" s="1"/>
  <c r="R33" i="6" s="1"/>
  <c r="F39" i="6"/>
  <c r="J39" i="6" s="1"/>
  <c r="K39" i="6" s="1"/>
  <c r="E17" i="6"/>
  <c r="J17" i="6" s="1"/>
  <c r="K17" i="6" s="1"/>
  <c r="Q17" i="6" s="1"/>
  <c r="C20" i="5" s="1"/>
  <c r="S18" i="6"/>
  <c r="E21" i="5" s="1"/>
  <c r="E25" i="6"/>
  <c r="J25" i="6" s="1"/>
  <c r="K25" i="6" s="1"/>
  <c r="Q25" i="6" s="1"/>
  <c r="S26" i="6"/>
  <c r="T26" i="6" s="1"/>
  <c r="E33" i="6"/>
  <c r="J33" i="6" s="1"/>
  <c r="K33" i="6" s="1"/>
  <c r="Q33" i="6" s="1"/>
  <c r="S34" i="6"/>
  <c r="T34" i="6" s="1"/>
  <c r="C5" i="5"/>
  <c r="C13" i="5"/>
  <c r="C21" i="5"/>
  <c r="L3" i="6"/>
  <c r="M3" i="6" s="1"/>
  <c r="R3" i="6" s="1"/>
  <c r="E6" i="6"/>
  <c r="J6" i="6" s="1"/>
  <c r="K6" i="6" s="1"/>
  <c r="Q6" i="6" s="1"/>
  <c r="S7" i="6"/>
  <c r="E10" i="5" s="1"/>
  <c r="L11" i="6"/>
  <c r="E14" i="6"/>
  <c r="J14" i="6" s="1"/>
  <c r="K14" i="6" s="1"/>
  <c r="Q14" i="6" s="1"/>
  <c r="C17" i="5" s="1"/>
  <c r="S15" i="6"/>
  <c r="L19" i="6"/>
  <c r="E22" i="6"/>
  <c r="J22" i="6" s="1"/>
  <c r="K22" i="6" s="1"/>
  <c r="Q22" i="6" s="1"/>
  <c r="S23" i="6"/>
  <c r="E7" i="5" s="1"/>
  <c r="L27" i="6"/>
  <c r="M27" i="6" s="1"/>
  <c r="R27" i="6" s="1"/>
  <c r="E30" i="6"/>
  <c r="J30" i="6" s="1"/>
  <c r="K30" i="6" s="1"/>
  <c r="Q30" i="6" s="1"/>
  <c r="S31" i="6"/>
  <c r="E15" i="5" s="1"/>
  <c r="L35" i="6"/>
  <c r="M35" i="6" s="1"/>
  <c r="R35" i="6" s="1"/>
  <c r="E38" i="6"/>
  <c r="J38" i="6" s="1"/>
  <c r="K38" i="6" s="1"/>
  <c r="Q38" i="6" s="1"/>
  <c r="S39" i="6"/>
  <c r="E31" i="5" s="1"/>
  <c r="E3" i="6"/>
  <c r="J3" i="6" s="1"/>
  <c r="K3" i="6" s="1"/>
  <c r="Q3" i="6" s="1"/>
  <c r="E11" i="6"/>
  <c r="J11" i="6" s="1"/>
  <c r="K11" i="6" s="1"/>
  <c r="Q11" i="6" s="1"/>
  <c r="C14" i="5" s="1"/>
  <c r="E19" i="6"/>
  <c r="J19" i="6" s="1"/>
  <c r="K19" i="6" s="1"/>
  <c r="Q19" i="6" s="1"/>
  <c r="E27" i="6"/>
  <c r="J27" i="6" s="1"/>
  <c r="K27" i="6" s="1"/>
  <c r="Q27" i="6" s="1"/>
  <c r="C11" i="5" s="1"/>
  <c r="E35" i="6"/>
  <c r="J35" i="6" s="1"/>
  <c r="K35" i="6" s="1"/>
  <c r="Q35" i="6" s="1"/>
  <c r="C19" i="5" s="1"/>
  <c r="E18" i="5" l="1"/>
  <c r="D16" i="5"/>
  <c r="D11" i="5"/>
  <c r="D8" i="5"/>
  <c r="T18" i="6"/>
  <c r="T2" i="6"/>
  <c r="Q39" i="6"/>
  <c r="M39" i="6"/>
  <c r="R39" i="6" s="1"/>
  <c r="D23" i="5" s="1"/>
  <c r="T10" i="6"/>
  <c r="D13" i="5"/>
  <c r="Q23" i="6"/>
  <c r="M23" i="6"/>
  <c r="R23" i="6" s="1"/>
  <c r="D7" i="5" s="1"/>
  <c r="T16" i="6"/>
  <c r="D19" i="5"/>
  <c r="T5" i="6"/>
  <c r="F8" i="5" s="1"/>
  <c r="T3" i="6"/>
  <c r="M11" i="6"/>
  <c r="R11" i="6" s="1"/>
  <c r="C27" i="5"/>
  <c r="M14" i="6"/>
  <c r="R14" i="6" s="1"/>
  <c r="D17" i="5" s="1"/>
  <c r="E28" i="5"/>
  <c r="I17" i="4"/>
  <c r="H24" i="4"/>
  <c r="I24" i="4" s="1"/>
  <c r="E5" i="5"/>
  <c r="E27" i="5"/>
  <c r="M30" i="6"/>
  <c r="R30" i="6" s="1"/>
  <c r="T30" i="6" s="1"/>
  <c r="M38" i="6"/>
  <c r="R38" i="6" s="1"/>
  <c r="T38" i="6" s="1"/>
  <c r="T33" i="6"/>
  <c r="M25" i="6"/>
  <c r="R25" i="6" s="1"/>
  <c r="T25" i="6" s="1"/>
  <c r="T8" i="6"/>
  <c r="E30" i="5"/>
  <c r="M6" i="6"/>
  <c r="R6" i="6" s="1"/>
  <c r="T6" i="6" s="1"/>
  <c r="T21" i="6"/>
  <c r="T29" i="6"/>
  <c r="M7" i="6"/>
  <c r="R7" i="6" s="1"/>
  <c r="D10" i="5" s="1"/>
  <c r="H27" i="4"/>
  <c r="I27" i="4" s="1"/>
  <c r="I25" i="4"/>
  <c r="T13" i="6"/>
  <c r="F16" i="5" s="1"/>
  <c r="C15" i="5"/>
  <c r="M31" i="6"/>
  <c r="R31" i="6" s="1"/>
  <c r="T31" i="6" s="1"/>
  <c r="F15" i="5" s="1"/>
  <c r="C18" i="5"/>
  <c r="T37" i="6"/>
  <c r="F21" i="5" s="1"/>
  <c r="G28" i="4"/>
  <c r="G8" i="4"/>
  <c r="I8" i="4"/>
  <c r="M9" i="6"/>
  <c r="R9" i="6" s="1"/>
  <c r="C31" i="5"/>
  <c r="T35" i="6"/>
  <c r="C30" i="5"/>
  <c r="C6" i="5"/>
  <c r="C22" i="5"/>
  <c r="G24" i="4"/>
  <c r="T9" i="6"/>
  <c r="I13" i="4"/>
  <c r="T11" i="6"/>
  <c r="C29" i="5"/>
  <c r="T22" i="6"/>
  <c r="T27" i="6"/>
  <c r="M19" i="6"/>
  <c r="R19" i="6" s="1"/>
  <c r="T19" i="6" s="1"/>
  <c r="C28" i="5"/>
  <c r="C9" i="5"/>
  <c r="T17" i="6"/>
  <c r="F20" i="5" s="1"/>
  <c r="M22" i="6"/>
  <c r="R22" i="6" s="1"/>
  <c r="D27" i="5" s="1"/>
  <c r="C8" i="5"/>
  <c r="M15" i="6"/>
  <c r="R15" i="6" s="1"/>
  <c r="D18" i="5" s="1"/>
  <c r="H28" i="4"/>
  <c r="F19" i="5" l="1"/>
  <c r="D14" i="5"/>
  <c r="T14" i="6"/>
  <c r="F17" i="5" s="1"/>
  <c r="F22" i="5"/>
  <c r="F14" i="5"/>
  <c r="F29" i="5"/>
  <c r="F12" i="5"/>
  <c r="D12" i="5"/>
  <c r="D29" i="5"/>
  <c r="T15" i="6"/>
  <c r="F18" i="5" s="1"/>
  <c r="D30" i="5"/>
  <c r="D15" i="5"/>
  <c r="F5" i="5"/>
  <c r="T23" i="6"/>
  <c r="F7" i="5" s="1"/>
  <c r="C7" i="5"/>
  <c r="T7" i="6"/>
  <c r="F10" i="5" s="1"/>
  <c r="D22" i="5"/>
  <c r="D31" i="5"/>
  <c r="D6" i="5"/>
  <c r="D9" i="5"/>
  <c r="D28" i="5"/>
  <c r="I28" i="4"/>
  <c r="F9" i="5"/>
  <c r="F28" i="5"/>
  <c r="F13" i="5"/>
  <c r="F30" i="5"/>
  <c r="F11" i="5"/>
  <c r="F6" i="5"/>
  <c r="T39" i="6"/>
  <c r="F23" i="5" s="1"/>
  <c r="C23" i="5"/>
  <c r="F31" i="5" l="1"/>
  <c r="F27" i="5"/>
</calcChain>
</file>

<file path=xl/sharedStrings.xml><?xml version="1.0" encoding="utf-8"?>
<sst xmlns="http://schemas.openxmlformats.org/spreadsheetml/2006/main" count="505" uniqueCount="217">
  <si>
    <t>PEPS OEE WORKBOOK  ·  README &amp; OPERATING GUIDE</t>
  </si>
  <si>
    <t xml:space="preserve">  📋  SHEET GUIDE</t>
  </si>
  <si>
    <t>README</t>
  </si>
  <si>
    <t>This guide. Read-only.</t>
  </si>
  <si>
    <t>Simple_Input</t>
  </si>
  <si>
    <t>DAILY USE — change date in B1, fill yellow cells (F–K) for each shift.</t>
  </si>
  <si>
    <t>Production_Details</t>
  </si>
  <si>
    <t>Auto summary (Day/Night/Overall). View only — do not type here.</t>
  </si>
  <si>
    <t>OEE_Summary</t>
  </si>
  <si>
    <t>KPI dashboard. Auto-refreshes when date changes. View only.</t>
  </si>
  <si>
    <t>OEE_Log_All</t>
  </si>
  <si>
    <t>Full OEE calculation log. All formula-driven. Do not edit.</t>
  </si>
  <si>
    <t>Machine_Master</t>
  </si>
  <si>
    <t>Reference: Ideal Rate, Shift Hours, Targets. Edit only for config changes.</t>
  </si>
  <si>
    <t>_Lists</t>
  </si>
  <si>
    <t>Machine &amp; Section lookup. Edit only when adding/removing machines.</t>
  </si>
  <si>
    <t>History_Log</t>
  </si>
  <si>
    <t>Permanent daily archive. Paste actuals here end-of-day before changing date. Filter by date to review history.</t>
  </si>
  <si>
    <t xml:space="preserve">  📅  DAILY OPERATING ROUTINE</t>
  </si>
  <si>
    <t>#</t>
  </si>
  <si>
    <t>Step</t>
  </si>
  <si>
    <t>What to do</t>
  </si>
  <si>
    <t>When</t>
  </si>
  <si>
    <t>Set the date</t>
  </si>
  <si>
    <t>Go to Simple_Input → cell B1. Type today's date in DD/MM/YYYY format (e.g. 16/03/2026). Press Enter.</t>
  </si>
  <si>
    <t>Start of shift</t>
  </si>
  <si>
    <t>Verify machines</t>
  </si>
  <si>
    <t>Check that Machine (col C) and Shift (col D) rows match today's active machines. These are pre-filled — change only if machines added/removed.</t>
  </si>
  <si>
    <t>Enter actuals</t>
  </si>
  <si>
    <t>Fill YELLOW columns only:
  F = Achieved output
  G = Breakdown hours
  H = Setup/Changeover hours
  I = Expected Time (idle) hours
  J = Reject/Rework qty
  K = Top Loss Reason (dropdown)</t>
  </si>
  <si>
    <t>End of each shift</t>
  </si>
  <si>
    <t>Review OEE</t>
  </si>
  <si>
    <t>Open OEE_Summary — check Availability, Performance, Quality, OEE % per machine. RAG colours flag issues.</t>
  </si>
  <si>
    <t>After data entry</t>
  </si>
  <si>
    <t>Review Production</t>
  </si>
  <si>
    <t>Open Production_Details — machine-wise Day/Night/Overall totals with % achievement and remarks.</t>
  </si>
  <si>
    <t>End-of-day check</t>
  </si>
  <si>
    <t>Ensure all 19 Day rows and 19 Night rows have Achieved filled. Enter 0 if a machine did not run — never leave blank.</t>
  </si>
  <si>
    <t>Before close</t>
  </si>
  <si>
    <t>Next-day prep</t>
  </si>
  <si>
    <t>Change date in B1 to tomorrow. Actuals clear from view (OEE_Log retains history). Confirm machines still correct.</t>
  </si>
  <si>
    <t>Before next shift</t>
  </si>
  <si>
    <t xml:space="preserve">  🔧  WHEN &amp; HOW TO CHANGE MASTER DATA</t>
  </si>
  <si>
    <t>Scenario</t>
  </si>
  <si>
    <t>Action</t>
  </si>
  <si>
    <t>Sheet</t>
  </si>
  <si>
    <t>Add a new machine</t>
  </si>
  <si>
    <t>1. Add machine name in _Lists col A; add section in col B.
2. Add row in Machine_Master: Section, Measure Unit, Expected Rate, Shift Hrs, Breaks, Day Target, Night Target.
3. Add Day + Night rows in Simple_Input col C/D — copy down formulas in B &amp; E.</t>
  </si>
  <si>
    <t>_Lists + Machine_Master + Simple_Input</t>
  </si>
  <si>
    <t>Remove a machine</t>
  </si>
  <si>
    <t>Delete or blank the row in _Lists. Hide or delete the row in Machine_Master. Delete the Day+Night rows in Simple_Input.</t>
  </si>
  <si>
    <t>Change Expected Rate (output rate/hr)</t>
  </si>
  <si>
    <t>Go to Machine_Master → col D (Expected Rate /hr). Update the value. OEE_Log picks it up automatically.</t>
  </si>
  <si>
    <t>Machine_Master col D</t>
  </si>
  <si>
    <t>Change Shift Hours or Breaks</t>
  </si>
  <si>
    <t>Go to Machine_Master → col E (Shift Hours) or col F (Breaks hrs). Update value.</t>
  </si>
  <si>
    <t>Machine_Master cols E/F</t>
  </si>
  <si>
    <t>Change Day or Night target</t>
  </si>
  <si>
    <t>Go to Machine_Master → col G (Day Target) or col H (Night Target). Simple_Input reflects it automatically.</t>
  </si>
  <si>
    <t>Machine_Master cols G/H</t>
  </si>
  <si>
    <t>Add a new Loss Reason</t>
  </si>
  <si>
    <t>Simple_Input → click any K column cell → Data → Data Validation → edit the list, append new reason with comma.</t>
  </si>
  <si>
    <t>Simple_Input col K validation</t>
  </si>
  <si>
    <t>Change machine's section</t>
  </si>
  <si>
    <t>Update _Lists col B for the machine AND Machine_Master col A. Both must match exactly.</t>
  </si>
  <si>
    <t>_Lists + Machine_Master</t>
  </si>
  <si>
    <t xml:space="preserve">  🔒  VALIDATIONS &amp; LOCKING — FULL LIST</t>
  </si>
  <si>
    <t>Cell / Range</t>
  </si>
  <si>
    <t>Rule</t>
  </si>
  <si>
    <t>B1</t>
  </si>
  <si>
    <t>Date: must be between 01/01/2025 and 31/12/2027. Format = DD/MM/YYYY.</t>
  </si>
  <si>
    <t>C3:C200</t>
  </si>
  <si>
    <t>Dropdown: only valid machine names from _Lists!A:A.</t>
  </si>
  <si>
    <t>D3:D200</t>
  </si>
  <si>
    <t>Dropdown: Day or Night only.</t>
  </si>
  <si>
    <t>F3:F200</t>
  </si>
  <si>
    <t>Achieved: decimal ≥ 0. (Recommended: also warn if &gt; 3× Target.)</t>
  </si>
  <si>
    <t>G3:I200</t>
  </si>
  <si>
    <t>Breakdown / Setup / Expected Time hours: decimal between 0 and 8.</t>
  </si>
  <si>
    <t>J3:J200</t>
  </si>
  <si>
    <t>Reject qty: decimal ≥ 0. (Recommended: warn if &gt; Achieved.)</t>
  </si>
  <si>
    <t>K3:K200</t>
  </si>
  <si>
    <t>Top Loss Reason: dropdown — 9 standard reasons.</t>
  </si>
  <si>
    <t>All cells</t>
  </si>
  <si>
    <t>Sheet protection: lock all formula/auto cells (A,B,E). Only F–K editable.</t>
  </si>
  <si>
    <t>Entire sheet locked — all formulas. No manual entry.</t>
  </si>
  <si>
    <t>Entire sheet locked — view only.</t>
  </si>
  <si>
    <t>Cols D,E,F,G,H</t>
  </si>
  <si>
    <t>Recommended: lock other columns; allow admin to edit input cols only.</t>
  </si>
  <si>
    <t>Recommended: lock after machine setup. Admin access only.</t>
  </si>
  <si>
    <t xml:space="preserve">  🚦  RAG COLOUR CODING LEGEND</t>
  </si>
  <si>
    <t>🔴  RED   &lt; 60%   —   Critical — immediate attention required</t>
  </si>
  <si>
    <t>🟡  AMBER   60–74%   —   Below target — monitor closely</t>
  </si>
  <si>
    <t>🟢  GREEN   ≥ 75%   —   On or above target — acceptable performance</t>
  </si>
  <si>
    <t xml:space="preserve">  🔓  HOW TO UNLOCK SHEETS (Passwords)</t>
  </si>
  <si>
    <t>Password</t>
  </si>
  <si>
    <t>Purpose</t>
  </si>
  <si>
    <t>Password:  pepsdata</t>
  </si>
  <si>
    <t>Unlocks to modify Machine/Shift pre-fills, or add rows for new machines</t>
  </si>
  <si>
    <t>Password:  pepslog</t>
  </si>
  <si>
    <t>Unlocks for audit/troubleshooting only — formulas should not need editing</t>
  </si>
  <si>
    <t>Password:  pepsview</t>
  </si>
  <si>
    <t>Unlocks only if layout changes are needed — data is auto-calculated</t>
  </si>
  <si>
    <t xml:space="preserve">  ⓘ  To unlock:  Excel → Review tab → Unprotect Sheet → enter password shown above.</t>
  </si>
  <si>
    <t xml:space="preserve">  📂  DAY-BY-DAY HISTORY — How data accumulates</t>
  </si>
  <si>
    <t>Topic</t>
  </si>
  <si>
    <t>Detail</t>
  </si>
  <si>
    <t>How it works</t>
  </si>
  <si>
    <t>The workbook uses a LIVE VIEW model. Simple_Input always shows the current date's data. OEE_Log_All shows today's calculated OEE — it does NOT automatically save yesterday's data when you change the date.
To build a history, use the History_Log sheet (see below).</t>
  </si>
  <si>
    <t>Architecture</t>
  </si>
  <si>
    <t>End-of-Day:
Save today's data</t>
  </si>
  <si>
    <t>Before changing the date, archive today's actuals:
  1. In Simple_Input select E3:J21 (Day rows). Hold Ctrl, also select E23:J41 (Night rows).
  2. Copy (Ctrl+C).
  3. Go to History_Log → click the next empty cell in col A.
  4. Paste Special → Values Only  (Ctrl+Alt+V → V → Enter).
  5. In History_Log col A, type today's date (DD/MM/YYYY) for each pasted row.
  6. Return to Simple_Input → change E1 to tomorrow's date.
  ⚠ Do this EVERY day BEFORE changing the date — once E1 changes, today's view is gone.</t>
  </si>
  <si>
    <t>Do this every end of day</t>
  </si>
  <si>
    <t>Viewing historical Production Details</t>
  </si>
  <si>
    <t>To view any past day in Production_Details or OEE_Summary:
  • Type the past date into Simple_Input E1 (yellow cell).
  • Both sheets refresh instantly for that date.
  • This works ONLY if actuals for that day were saved to History_Log.
History_Log = permanent archive. Production_Details and OEE_Summary
= live date-driven views. Type any date in E1 to see that day's data.</t>
  </si>
  <si>
    <t>For history review</t>
  </si>
  <si>
    <t>Future enhancement (VBA)</t>
  </si>
  <si>
    <t>A one-click 'End of Day — Save &amp; Advance' button (VBA macro) can automate steps 1–5 above. This would append today's full row to History_Log automatically and advance the date. Ask your IT team or request this as a VBA upgrade to this workbook.</t>
  </si>
  <si>
    <t>Optional upgrade</t>
  </si>
  <si>
    <t>MACHINE MASTER — Reference Data  (Edit yellow columns only)</t>
  </si>
  <si>
    <t>Section</t>
  </si>
  <si>
    <t>Machine</t>
  </si>
  <si>
    <t>Measure Unit</t>
  </si>
  <si>
    <t>Expected Rate (/hr)</t>
  </si>
  <si>
    <t>Default Shift Hours</t>
  </si>
  <si>
    <t>Default Breaks (hrs)</t>
  </si>
  <si>
    <t>Day Target</t>
  </si>
  <si>
    <t>Night Target</t>
  </si>
  <si>
    <t>BONNELL</t>
  </si>
  <si>
    <t>FT-81-1</t>
  </si>
  <si>
    <t>UNIT</t>
  </si>
  <si>
    <t>FT-81-2</t>
  </si>
  <si>
    <t>FT-81-3</t>
  </si>
  <si>
    <t>FT-81-4</t>
  </si>
  <si>
    <t>POCKETED</t>
  </si>
  <si>
    <t>LR-PS-OV</t>
  </si>
  <si>
    <t>LR-PS-UVS</t>
  </si>
  <si>
    <t>LR-PS-VS</t>
  </si>
  <si>
    <t>QUILTING</t>
  </si>
  <si>
    <t>EVEREN</t>
  </si>
  <si>
    <t>MTR</t>
  </si>
  <si>
    <t>PARAGON+</t>
  </si>
  <si>
    <t>RELIANCE</t>
  </si>
  <si>
    <t>TAPE EDGE</t>
  </si>
  <si>
    <t>TAPE EDGE-1</t>
  </si>
  <si>
    <t>MATTRESS</t>
  </si>
  <si>
    <t>TAPE EDGE-2</t>
  </si>
  <si>
    <t>TAPE EDGE-3</t>
  </si>
  <si>
    <t>TAPE EDGE-4</t>
  </si>
  <si>
    <t>TAPE EDGE-5</t>
  </si>
  <si>
    <t>TAPE EDGE-6</t>
  </si>
  <si>
    <t>TAPE EDGE-7</t>
  </si>
  <si>
    <t>HYPNOS</t>
  </si>
  <si>
    <t>TAPE EDGE -1</t>
  </si>
  <si>
    <t>TAPE EDGE -2</t>
  </si>
  <si>
    <t xml:space="preserve">  ℹ️  Yellow columns (D–H) are editable. Section/Machine changes must also be updated in _Lists tab.</t>
  </si>
  <si>
    <t>PEPS OEE — DAILY INPUT</t>
  </si>
  <si>
    <t xml:space="preserve">  ← Enter date here (DD/MM/YYYY)  |  Fill YELLOW cells (E–J) each shift</t>
  </si>
  <si>
    <t>SECTION</t>
  </si>
  <si>
    <t>MACHINE</t>
  </si>
  <si>
    <t>SHIFT</t>
  </si>
  <si>
    <t>TARGET</t>
  </si>
  <si>
    <t>ACHIEVED</t>
  </si>
  <si>
    <t>BREAKDOWN (hrs)</t>
  </si>
  <si>
    <t>SETUP / CHANGEOVER (hrs)</t>
  </si>
  <si>
    <t>EXPECTED TIME (hrs)</t>
  </si>
  <si>
    <t>REJECT / REWORK (qty)</t>
  </si>
  <si>
    <t>TOP LOSS REASON</t>
  </si>
  <si>
    <t>Day</t>
  </si>
  <si>
    <t>◀  DAY SHIFT ABOVE   |   NIGHT SHIFT BELOW  ▶</t>
  </si>
  <si>
    <t>Night</t>
  </si>
  <si>
    <t>DAY SHIFT</t>
  </si>
  <si>
    <t>NIGHT SHIFT</t>
  </si>
  <si>
    <t>OVERALL</t>
  </si>
  <si>
    <t>MC NAME</t>
  </si>
  <si>
    <t>%</t>
  </si>
  <si>
    <t>REMARKS</t>
  </si>
  <si>
    <t>TOTAL (UNIT)</t>
  </si>
  <si>
    <t>TOTAL (MTR)</t>
  </si>
  <si>
    <t>TOTAL (MATTRESS)</t>
  </si>
  <si>
    <t>GRAND TOTAL</t>
  </si>
  <si>
    <t>🔴  RED     Achievement &lt; 60%    CRITICAL — immediate action required</t>
  </si>
  <si>
    <t>🟡  AMBER   Achievement 60–74%   BELOW TARGET — monitor closely</t>
  </si>
  <si>
    <t>🟢  GREEN   Achievement ≥ 75%    ON TARGET — acceptable performance</t>
  </si>
  <si>
    <t>OEE SUMMARY DASHBOARD</t>
  </si>
  <si>
    <t>Reporting Date:</t>
  </si>
  <si>
    <t>AVAILABILITY</t>
  </si>
  <si>
    <t>PERFORMANCE</t>
  </si>
  <si>
    <t>QUALITY</t>
  </si>
  <si>
    <t>OEE</t>
  </si>
  <si>
    <t>SECTION SUMMARY</t>
  </si>
  <si>
    <t>Date</t>
  </si>
  <si>
    <t>Shift</t>
  </si>
  <si>
    <t>Shift Hours</t>
  </si>
  <si>
    <t>Planned Breaks (hrs)</t>
  </si>
  <si>
    <t>Breakdown (hrs)</t>
  </si>
  <si>
    <t>Setup/Changeover (hrs)</t>
  </si>
  <si>
    <t>Expected Time (hrs)</t>
  </si>
  <si>
    <t>Planned Prod Time (hrs)</t>
  </si>
  <si>
    <t>Run Time (hrs)</t>
  </si>
  <si>
    <t>Expected Output</t>
  </si>
  <si>
    <t>Achieved Output</t>
  </si>
  <si>
    <t>Reject / Rework</t>
  </si>
  <si>
    <t>Good Output</t>
  </si>
  <si>
    <t>Availability</t>
  </si>
  <si>
    <t>Performance</t>
  </si>
  <si>
    <t>Quality</t>
  </si>
  <si>
    <t>Top Loss Reason</t>
  </si>
  <si>
    <t>📋  END-OF-DAY ARCHIVE — EXACT STEPS:
1) In OEE_Log_All: select A2:U39  (38 rows = 19 Day + 19 Night, all 21 cols).
2) Copy  (Ctrl+C).
3) Click the NEXT EMPTY ROW in col A below the last entry in this sheet.
4) Paste  (Ctrl+V — normal paste). Formatting and values paste together.
5) Go to Simple_Input → change E1 to tomorrow's date.
Row order here MATCHES OEE_Log exactly: rows 1-19 = Day shifts (FT-81-1 to TAPE EDGE -2), rows 20-38 = Night shifts same order.  Each date = exactly 38 rows.</t>
  </si>
  <si>
    <t>💡  TO VIEW HISTORY:  Type any past date in Simple_Input E1.  Production_Details and OEE_Summary refresh instantly — but ONLY if actuals were saved here.</t>
  </si>
  <si>
    <t>MACHINE &amp; SECTION LIST  (Admin use only)</t>
  </si>
  <si>
    <t>History Storage</t>
  </si>
  <si>
    <t>Update the data in the Simple_Input sheet and enter the required inputs.
Then, click the button available on the right side of the Simple_Input sheet, or press CTRL + SHIFT + H to store the data in the History Log sheet.
Once the storage limit of the sheet is exceeded, a new history sheet will be automatically created, and the data will be stored there.</t>
  </si>
  <si>
    <t>For History Storage</t>
  </si>
  <si>
    <t>Macro Password</t>
  </si>
  <si>
    <t>Password: Peps@123</t>
  </si>
  <si>
    <t>Unlocks only if Modification need for Macro.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</si>
</sst>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5" x14ac:knownFonts="1">
    <font>
      <sz val="11"/>
      <color theme="1"/>
      <name val="Calibri"/>
      <family val="2"/>
      <charset val="1"/>
    </font>
    <font>
      <sz val="10"/>
      <name val="Arial"/>
      <family val="2"/>
    </font>
    <font>
      <b/>
      <sz val="15"/>
      <color rgb="FFFFFFFF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i/>
      <sz val="10"/>
      <color rgb="FF7030A0"/>
      <name val="Arial"/>
      <family val="2"/>
    </font>
    <font>
      <b/>
      <sz val="13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7030A0"/>
      <name val="Arial"/>
      <family val="2"/>
    </font>
    <font>
      <b/>
      <sz val="13"/>
      <color rgb="FF1F3864"/>
      <name val="Arial"/>
      <family val="2"/>
    </font>
    <font>
      <i/>
      <sz val="10"/>
      <color rgb="FF404040"/>
      <name val="Arial"/>
      <family val="2"/>
    </font>
    <font>
      <b/>
      <sz val="9"/>
      <color rgb="FFFFFFFF"/>
      <name val="Arial"/>
      <family val="2"/>
    </font>
    <font>
      <sz val="10"/>
      <color rgb="FF1F3864"/>
      <name val="Arial"/>
      <family val="2"/>
    </font>
    <font>
      <b/>
      <sz val="10"/>
      <color rgb="FF1F3864"/>
      <name val="Arial"/>
      <family val="2"/>
    </font>
    <font>
      <b/>
      <sz val="9"/>
      <color rgb="FF404040"/>
      <name val="Arial"/>
      <family val="2"/>
    </font>
    <font>
      <sz val="11"/>
      <name val="Arial"/>
      <family val="2"/>
    </font>
    <font>
      <b/>
      <sz val="16"/>
      <color rgb="FFFFFFFF"/>
      <name val="Arial"/>
      <family val="2"/>
    </font>
    <font>
      <b/>
      <sz val="11"/>
      <color rgb="FF000000"/>
      <name val="Arial"/>
      <family val="2"/>
    </font>
    <font>
      <b/>
      <sz val="14"/>
      <color rgb="FF1F3864"/>
      <name val="Arial"/>
      <family val="2"/>
    </font>
    <font>
      <b/>
      <sz val="10"/>
      <color rgb="FF7030A0"/>
      <name val="Arial"/>
      <family val="2"/>
    </font>
    <font>
      <i/>
      <sz val="10"/>
      <color rgb="FF1F3864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1F3864"/>
        <bgColor rgb="FF333399"/>
      </patternFill>
    </fill>
    <fill>
      <patternFill patternType="solid">
        <fgColor rgb="FF2E75B6"/>
        <bgColor rgb="FF0066CC"/>
      </patternFill>
    </fill>
    <fill>
      <patternFill patternType="solid">
        <fgColor rgb="FFDEEAF1"/>
        <bgColor rgb="FFD9E1F2"/>
      </patternFill>
    </fill>
    <fill>
      <patternFill patternType="solid">
        <fgColor rgb="FFFFFFFF"/>
        <bgColor rgb="FFF7FBFF"/>
      </patternFill>
    </fill>
    <fill>
      <patternFill patternType="solid">
        <fgColor rgb="FFFF9999"/>
        <bgColor rgb="FFFFCC66"/>
      </patternFill>
    </fill>
    <fill>
      <patternFill patternType="solid">
        <fgColor rgb="FFFFCC66"/>
        <bgColor rgb="FFFCE4D6"/>
      </patternFill>
    </fill>
    <fill>
      <patternFill patternType="solid">
        <fgColor rgb="FF99CC99"/>
        <bgColor rgb="FFC9C9C9"/>
      </patternFill>
    </fill>
    <fill>
      <patternFill patternType="solid">
        <fgColor rgb="FFF2E8FF"/>
        <bgColor rgb="FFF2F2F2"/>
      </patternFill>
    </fill>
    <fill>
      <patternFill patternType="solid">
        <fgColor rgb="FFD9E1F2"/>
        <bgColor rgb="FFDEEAF1"/>
      </patternFill>
    </fill>
    <fill>
      <patternFill patternType="solid">
        <fgColor rgb="FFFFFACD"/>
        <bgColor rgb="FFFFF2CC"/>
      </patternFill>
    </fill>
    <fill>
      <patternFill patternType="solid">
        <fgColor rgb="FFD5F5E3"/>
        <bgColor rgb="FFE2EFDA"/>
      </patternFill>
    </fill>
    <fill>
      <patternFill patternType="solid">
        <fgColor rgb="FFE2EFDA"/>
        <bgColor rgb="FFDEEAF1"/>
      </patternFill>
    </fill>
    <fill>
      <patternFill patternType="solid">
        <fgColor rgb="FFFCE4D6"/>
        <bgColor rgb="FFFFF2CC"/>
      </patternFill>
    </fill>
    <fill>
      <patternFill patternType="solid">
        <fgColor rgb="FFE8D5F5"/>
        <bgColor rgb="FFD9E1F2"/>
      </patternFill>
    </fill>
    <fill>
      <patternFill patternType="solid">
        <fgColor rgb="FFF2F2F2"/>
        <bgColor rgb="FFF7FBFF"/>
      </patternFill>
    </fill>
    <fill>
      <patternFill patternType="solid">
        <fgColor rgb="FFFFFF99"/>
        <bgColor rgb="FFFFFACD"/>
      </patternFill>
    </fill>
    <fill>
      <patternFill patternType="solid">
        <fgColor rgb="FFC9C9C9"/>
        <bgColor rgb="FFD9D9D9"/>
      </patternFill>
    </fill>
    <fill>
      <patternFill patternType="solid">
        <fgColor rgb="FFD9D9D9"/>
        <bgColor rgb="FFD9E1F2"/>
      </patternFill>
    </fill>
    <fill>
      <patternFill patternType="solid">
        <fgColor rgb="FFFFF2CC"/>
        <bgColor rgb="FFFFFACD"/>
      </patternFill>
    </fill>
    <fill>
      <patternFill patternType="solid">
        <fgColor rgb="FFF7FBFF"/>
        <bgColor rgb="FFFFFFFF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11" fillId="3" borderId="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left" vertical="center"/>
    </xf>
    <xf numFmtId="0" fontId="3" fillId="0" borderId="0" xfId="0" applyFont="1"/>
    <xf numFmtId="14" fontId="5" fillId="0" borderId="0" xfId="0" applyNumberFormat="1" applyFont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8" borderId="1" xfId="0" applyFont="1" applyFill="1" applyBorder="1" applyAlignment="1">
      <alignment horizontal="left" vertical="center"/>
    </xf>
    <xf numFmtId="0" fontId="8" fillId="4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left" vertical="center" wrapText="1"/>
    </xf>
    <xf numFmtId="0" fontId="4" fillId="2" borderId="0" xfId="0" applyFont="1" applyFill="1" applyAlignment="1">
      <alignment horizontal="left" vertical="center"/>
    </xf>
    <xf numFmtId="0" fontId="6" fillId="10" borderId="1" xfId="0" applyFont="1" applyFill="1" applyBorder="1" applyAlignment="1">
      <alignment horizontal="left" vertical="center" wrapText="1"/>
    </xf>
    <xf numFmtId="0" fontId="5" fillId="10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left" vertical="center" wrapText="1"/>
    </xf>
    <xf numFmtId="0" fontId="5" fillId="12" borderId="1" xfId="0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left" vertical="center" wrapText="1"/>
    </xf>
    <xf numFmtId="0" fontId="5" fillId="13" borderId="1" xfId="0" applyFont="1" applyFill="1" applyBorder="1" applyAlignment="1">
      <alignment horizontal="center" vertical="center" wrapText="1"/>
    </xf>
    <xf numFmtId="0" fontId="6" fillId="14" borderId="1" xfId="0" applyFont="1" applyFill="1" applyBorder="1" applyAlignment="1">
      <alignment horizontal="left" vertical="center" wrapText="1"/>
    </xf>
    <xf numFmtId="0" fontId="5" fillId="14" borderId="1" xfId="0" applyFont="1" applyFill="1" applyBorder="1" applyAlignment="1">
      <alignment horizontal="center" vertical="center" wrapText="1"/>
    </xf>
    <xf numFmtId="0" fontId="6" fillId="15" borderId="1" xfId="0" applyFont="1" applyFill="1" applyBorder="1" applyAlignment="1">
      <alignment horizontal="left" vertical="center" wrapText="1"/>
    </xf>
    <xf numFmtId="0" fontId="5" fillId="15" borderId="1" xfId="0" applyFont="1" applyFill="1" applyBorder="1" applyAlignment="1">
      <alignment horizontal="center" vertical="center" wrapText="1"/>
    </xf>
    <xf numFmtId="14" fontId="13" fillId="17" borderId="4" xfId="0" applyNumberFormat="1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left" vertical="center"/>
    </xf>
    <xf numFmtId="0" fontId="17" fillId="4" borderId="1" xfId="0" applyFont="1" applyFill="1" applyBorder="1" applyAlignment="1">
      <alignment horizontal="center" vertical="center"/>
    </xf>
    <xf numFmtId="0" fontId="3" fillId="17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/>
    <xf numFmtId="0" fontId="5" fillId="5" borderId="1" xfId="0" applyFont="1" applyFill="1" applyBorder="1" applyAlignment="1">
      <alignment horizontal="center" vertical="center" wrapText="1"/>
    </xf>
    <xf numFmtId="9" fontId="5" fillId="5" borderId="1" xfId="0" applyNumberFormat="1" applyFont="1" applyFill="1" applyBorder="1" applyAlignment="1">
      <alignment horizontal="center" vertical="center" wrapText="1"/>
    </xf>
    <xf numFmtId="0" fontId="6" fillId="17" borderId="1" xfId="0" applyFont="1" applyFill="1" applyBorder="1" applyAlignment="1">
      <alignment horizontal="left" vertical="center" shrinkToFit="1"/>
    </xf>
    <xf numFmtId="0" fontId="6" fillId="17" borderId="1" xfId="0" applyFont="1" applyFill="1" applyBorder="1" applyAlignment="1">
      <alignment horizontal="left" vertical="center" wrapText="1"/>
    </xf>
    <xf numFmtId="0" fontId="6" fillId="17" borderId="1" xfId="0" applyFont="1" applyFill="1" applyBorder="1" applyAlignment="1">
      <alignment horizontal="center" vertical="center" wrapText="1"/>
    </xf>
    <xf numFmtId="9" fontId="6" fillId="17" borderId="1" xfId="0" applyNumberFormat="1" applyFont="1" applyFill="1" applyBorder="1" applyAlignment="1">
      <alignment horizontal="center" vertical="center" wrapText="1"/>
    </xf>
    <xf numFmtId="0" fontId="6" fillId="19" borderId="1" xfId="0" applyFont="1" applyFill="1" applyBorder="1" applyAlignment="1">
      <alignment horizontal="left" vertical="center" shrinkToFit="1"/>
    </xf>
    <xf numFmtId="0" fontId="6" fillId="19" borderId="1" xfId="0" applyFont="1" applyFill="1" applyBorder="1" applyAlignment="1">
      <alignment horizontal="left" vertical="center" wrapText="1"/>
    </xf>
    <xf numFmtId="0" fontId="6" fillId="19" borderId="1" xfId="0" applyFont="1" applyFill="1" applyBorder="1" applyAlignment="1">
      <alignment horizontal="center" vertical="center" wrapText="1"/>
    </xf>
    <xf numFmtId="9" fontId="6" fillId="19" borderId="1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9" fontId="19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right" vertical="center"/>
    </xf>
    <xf numFmtId="0" fontId="5" fillId="10" borderId="1" xfId="0" applyFont="1" applyFill="1" applyBorder="1" applyAlignment="1">
      <alignment horizontal="left" vertical="center" wrapText="1"/>
    </xf>
    <xf numFmtId="164" fontId="3" fillId="10" borderId="1" xfId="0" applyNumberFormat="1" applyFont="1" applyFill="1" applyBorder="1" applyAlignment="1">
      <alignment horizontal="center" vertical="center" wrapText="1"/>
    </xf>
    <xf numFmtId="0" fontId="5" fillId="20" borderId="1" xfId="0" applyFont="1" applyFill="1" applyBorder="1" applyAlignment="1">
      <alignment horizontal="left" vertical="center" wrapText="1"/>
    </xf>
    <xf numFmtId="164" fontId="3" fillId="20" borderId="1" xfId="0" applyNumberFormat="1" applyFont="1" applyFill="1" applyBorder="1" applyAlignment="1">
      <alignment horizontal="center" vertical="center" wrapText="1"/>
    </xf>
    <xf numFmtId="0" fontId="5" fillId="13" borderId="1" xfId="0" applyFont="1" applyFill="1" applyBorder="1" applyAlignment="1">
      <alignment horizontal="left" vertical="center" wrapText="1"/>
    </xf>
    <xf numFmtId="164" fontId="3" fillId="13" borderId="1" xfId="0" applyNumberFormat="1" applyFont="1" applyFill="1" applyBorder="1" applyAlignment="1">
      <alignment horizontal="center" vertical="center" wrapText="1"/>
    </xf>
    <xf numFmtId="0" fontId="5" fillId="14" borderId="1" xfId="0" applyFont="1" applyFill="1" applyBorder="1" applyAlignment="1">
      <alignment horizontal="left" vertical="center" wrapText="1"/>
    </xf>
    <xf numFmtId="164" fontId="3" fillId="14" borderId="1" xfId="0" applyNumberFormat="1" applyFont="1" applyFill="1" applyBorder="1" applyAlignment="1">
      <alignment horizontal="center" vertical="center" wrapText="1"/>
    </xf>
    <xf numFmtId="0" fontId="5" fillId="15" borderId="1" xfId="0" applyFont="1" applyFill="1" applyBorder="1" applyAlignment="1">
      <alignment horizontal="left" vertical="center" wrapText="1"/>
    </xf>
    <xf numFmtId="164" fontId="3" fillId="15" borderId="1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6" fillId="20" borderId="1" xfId="0" applyFon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4" fontId="3" fillId="5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/>
    </xf>
    <xf numFmtId="14" fontId="3" fillId="21" borderId="1" xfId="0" applyNumberFormat="1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left" vertical="center"/>
    </xf>
    <xf numFmtId="0" fontId="5" fillId="20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left" vertical="center" wrapText="1"/>
    </xf>
    <xf numFmtId="0" fontId="0" fillId="0" borderId="0" xfId="0"/>
    <xf numFmtId="0" fontId="7" fillId="7" borderId="1" xfId="0" applyFont="1" applyFill="1" applyBorder="1" applyAlignment="1">
      <alignment horizontal="left" vertical="center" wrapText="1"/>
    </xf>
    <xf numFmtId="0" fontId="7" fillId="8" borderId="1" xfId="0" applyFont="1" applyFill="1" applyBorder="1" applyAlignment="1">
      <alignment horizontal="left" vertical="center" wrapText="1"/>
    </xf>
    <xf numFmtId="0" fontId="9" fillId="9" borderId="2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left" vertical="center" wrapText="1"/>
    </xf>
    <xf numFmtId="0" fontId="5" fillId="5" borderId="2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12" fillId="16" borderId="1" xfId="0" applyFont="1" applyFill="1" applyBorder="1" applyAlignment="1">
      <alignment horizontal="left" vertical="center" wrapText="1"/>
    </xf>
    <xf numFmtId="0" fontId="10" fillId="2" borderId="3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left" vertical="center"/>
    </xf>
    <xf numFmtId="0" fontId="18" fillId="18" borderId="5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left" vertical="center"/>
    </xf>
    <xf numFmtId="0" fontId="7" fillId="8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center"/>
    </xf>
    <xf numFmtId="0" fontId="20" fillId="2" borderId="1" xfId="0" applyFont="1" applyFill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23" fillId="9" borderId="5" xfId="0" applyFont="1" applyFill="1" applyBorder="1" applyAlignment="1">
      <alignment horizontal="left" vertical="center" wrapText="1"/>
    </xf>
    <xf numFmtId="0" fontId="24" fillId="4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fill>
        <patternFill>
          <bgColor rgb="FF99CC99"/>
        </patternFill>
      </fill>
    </dxf>
    <dxf>
      <fill>
        <patternFill>
          <bgColor rgb="FFFFCC66"/>
        </patternFill>
      </fill>
    </dxf>
    <dxf>
      <fill>
        <patternFill>
          <bgColor rgb="FFFF9999"/>
        </patternFill>
      </fill>
    </dxf>
    <dxf>
      <fill>
        <patternFill>
          <bgColor rgb="FF99CC99"/>
        </patternFill>
      </fill>
    </dxf>
    <dxf>
      <fill>
        <patternFill>
          <bgColor rgb="FFFFCC66"/>
        </patternFill>
      </fill>
    </dxf>
    <dxf>
      <fill>
        <patternFill>
          <bgColor rgb="FFFF9999"/>
        </patternFill>
      </fill>
    </dxf>
    <dxf>
      <fill>
        <patternFill>
          <bgColor rgb="FF99CC99"/>
        </patternFill>
      </fill>
    </dxf>
    <dxf>
      <fill>
        <patternFill>
          <bgColor rgb="FFFFCC66"/>
        </patternFill>
      </fill>
    </dxf>
    <dxf>
      <fill>
        <patternFill>
          <bgColor rgb="FFFF9999"/>
        </patternFill>
      </fill>
    </dxf>
    <dxf>
      <fill>
        <patternFill>
          <bgColor rgb="FF99CC99"/>
        </patternFill>
      </fill>
    </dxf>
    <dxf>
      <fill>
        <patternFill>
          <bgColor rgb="FFFFCC66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2CC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D9E1F2"/>
      <rgbColor rgb="FF7030A0"/>
      <rgbColor rgb="FFFFFACD"/>
      <rgbColor rgb="FFDEEAF1"/>
      <rgbColor rgb="FF660066"/>
      <rgbColor rgb="FFF7FBFF"/>
      <rgbColor rgb="FF0066CC"/>
      <rgbColor rgb="FFE8D5F5"/>
      <rgbColor rgb="FF000080"/>
      <rgbColor rgb="FFFF00FF"/>
      <rgbColor rgb="FFF2F2F2"/>
      <rgbColor rgb="FF00FFFF"/>
      <rgbColor rgb="FF800080"/>
      <rgbColor rgb="FF800000"/>
      <rgbColor rgb="FF008080"/>
      <rgbColor rgb="FF0000FF"/>
      <rgbColor rgb="FF00CCFF"/>
      <rgbColor rgb="FFE2EFDA"/>
      <rgbColor rgb="FFD5F5E3"/>
      <rgbColor rgb="FFFFFF99"/>
      <rgbColor rgb="FF99CC99"/>
      <rgbColor rgb="FFFF9999"/>
      <rgbColor rgb="FFD9D9D9"/>
      <rgbColor rgb="FFFFCC66"/>
      <rgbColor rgb="FF2E75B6"/>
      <rgbColor rgb="FF33CCCC"/>
      <rgbColor rgb="FF99CC00"/>
      <rgbColor rgb="FFFCE4D6"/>
      <rgbColor rgb="FFFF9900"/>
      <rgbColor rgb="FFFF6600"/>
      <rgbColor rgb="FF666699"/>
      <rgbColor rgb="FFF2E8FF"/>
      <rgbColor rgb="FF1F3864"/>
      <rgbColor rgb="FF339966"/>
      <rgbColor rgb="FF003300"/>
      <rgbColor rgb="FF333300"/>
      <rgbColor rgb="FF993300"/>
      <rgbColor rgb="FF993366"/>
      <rgbColor rgb="FF33339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1314450</xdr:colOff>
      <xdr:row>0</xdr:row>
      <xdr:rowOff>180975</xdr:rowOff>
    </xdr:from>
    <xdr:to>
      <xdr:col>14</xdr:col>
      <xdr:colOff>333375</xdr:colOff>
      <xdr:row>2</xdr:row>
      <xdr:rowOff>19050</xdr:rowOff>
    </xdr:to>
    <xdr:sp macro="[0]!SyncHistoryFinal_FullBorder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39E6283-5E2A-DFAC-0D03-D08FCB9A720A}"/>
            </a:ext>
          </a:extLst>
        </xdr:cNvPr>
        <xdr:cNvSpPr/>
      </xdr:nvSpPr>
      <xdr:spPr>
        <a:xfrm>
          <a:off x="10782300" y="180975"/>
          <a:ext cx="2228850" cy="80010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solidFill>
            <a:srgbClr val="0000FF"/>
          </a:solidFill>
        </a:ln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>
              <a:solidFill>
                <a:schemeClr val="lt1"/>
              </a:solidFill>
              <a:effectLst>
                <a:glow rad="228600">
                  <a:schemeClr val="accent2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History</a:t>
          </a:r>
          <a:r>
            <a:rPr lang="en-IN" sz="1100" baseline="0">
              <a:solidFill>
                <a:schemeClr val="lt1"/>
              </a:solidFill>
              <a:effectLst>
                <a:glow rad="228600">
                  <a:schemeClr val="accent2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Storer  </a:t>
          </a:r>
          <a:endParaRPr lang="en-IN">
            <a:effectLst/>
          </a:endParaRPr>
        </a:p>
        <a:p>
          <a:pPr algn="ctr"/>
          <a:r>
            <a:rPr lang="en-IN" sz="1100" baseline="0">
              <a:solidFill>
                <a:schemeClr val="lt1"/>
              </a:solidFill>
              <a:effectLst>
                <a:glow rad="228600">
                  <a:schemeClr val="accent2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CTRL+SHIFT+H</a:t>
          </a:r>
          <a:endParaRPr lang="en-IN">
            <a:effectLst/>
          </a:endParaRPr>
        </a:p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70"/>
  <sheetViews>
    <sheetView topLeftCell="A49" zoomScaleNormal="100" workbookViewId="0">
      <selection activeCell="C57" sqref="C57"/>
    </sheetView>
  </sheetViews>
  <sheetFormatPr defaultColWidth="8.7109375" defaultRowHeight="15" x14ac:dyDescent="0.25"/>
  <cols>
    <col min="1" max="1" width="5" customWidth="1"/>
    <col min="2" max="2" width="32" customWidth="1"/>
    <col min="3" max="3" width="68" customWidth="1"/>
    <col min="4" max="4" width="30" customWidth="1"/>
  </cols>
  <sheetData>
    <row r="1" spans="1:4" ht="25.5" customHeight="1" x14ac:dyDescent="0.25">
      <c r="A1" s="84" t="s">
        <v>0</v>
      </c>
      <c r="B1" s="84"/>
      <c r="C1" s="84"/>
      <c r="D1" s="84"/>
    </row>
    <row r="2" spans="1:4" ht="7.5" customHeight="1" x14ac:dyDescent="0.25">
      <c r="A2" s="3"/>
      <c r="B2" s="3"/>
    </row>
    <row r="3" spans="1:4" ht="25.5" customHeight="1" x14ac:dyDescent="0.25">
      <c r="A3" s="85" t="s">
        <v>1</v>
      </c>
      <c r="B3" s="85"/>
      <c r="C3" s="85"/>
      <c r="D3" s="85"/>
    </row>
    <row r="4" spans="1:4" ht="27.75" customHeight="1" x14ac:dyDescent="0.25">
      <c r="A4" s="4"/>
      <c r="B4" s="5" t="s">
        <v>2</v>
      </c>
      <c r="C4" s="83" t="s">
        <v>3</v>
      </c>
      <c r="D4" s="83"/>
    </row>
    <row r="5" spans="1:4" ht="43.5" customHeight="1" x14ac:dyDescent="0.25">
      <c r="A5" s="6"/>
      <c r="B5" s="5" t="s">
        <v>4</v>
      </c>
      <c r="C5" s="83" t="s">
        <v>5</v>
      </c>
      <c r="D5" s="83"/>
    </row>
    <row r="6" spans="1:4" ht="27.75" customHeight="1" x14ac:dyDescent="0.25">
      <c r="A6" s="6"/>
      <c r="B6" s="5" t="s">
        <v>6</v>
      </c>
      <c r="C6" s="83" t="s">
        <v>7</v>
      </c>
      <c r="D6" s="83"/>
    </row>
    <row r="7" spans="1:4" ht="27.75" customHeight="1" x14ac:dyDescent="0.25">
      <c r="A7" s="6"/>
      <c r="B7" s="5" t="s">
        <v>8</v>
      </c>
      <c r="C7" s="83" t="s">
        <v>9</v>
      </c>
      <c r="D7" s="83"/>
    </row>
    <row r="8" spans="1:4" ht="27.75" customHeight="1" x14ac:dyDescent="0.25">
      <c r="A8" s="6"/>
      <c r="B8" s="5" t="s">
        <v>10</v>
      </c>
      <c r="C8" s="83" t="s">
        <v>11</v>
      </c>
      <c r="D8" s="83"/>
    </row>
    <row r="9" spans="1:4" ht="43.5" customHeight="1" x14ac:dyDescent="0.25">
      <c r="A9" s="6"/>
      <c r="B9" s="5" t="s">
        <v>12</v>
      </c>
      <c r="C9" s="83" t="s">
        <v>13</v>
      </c>
      <c r="D9" s="83"/>
    </row>
    <row r="10" spans="1:4" ht="43.5" customHeight="1" x14ac:dyDescent="0.25">
      <c r="A10" s="6"/>
      <c r="B10" s="5" t="s">
        <v>14</v>
      </c>
      <c r="C10" s="83" t="s">
        <v>15</v>
      </c>
      <c r="D10" s="83"/>
    </row>
    <row r="11" spans="1:4" ht="43.5" customHeight="1" x14ac:dyDescent="0.25">
      <c r="B11" s="7" t="s">
        <v>16</v>
      </c>
      <c r="C11" s="83" t="s">
        <v>17</v>
      </c>
      <c r="D11" s="83"/>
    </row>
    <row r="12" spans="1:4" ht="7.5" customHeight="1" x14ac:dyDescent="0.25">
      <c r="A12" s="78"/>
      <c r="B12" s="78"/>
      <c r="C12" s="78"/>
      <c r="D12" s="78"/>
    </row>
    <row r="13" spans="1:4" ht="25.5" customHeight="1" x14ac:dyDescent="0.25">
      <c r="A13" s="2" t="s">
        <v>18</v>
      </c>
    </row>
    <row r="14" spans="1:4" ht="27.75" customHeight="1" x14ac:dyDescent="0.25">
      <c r="A14" s="8" t="s">
        <v>19</v>
      </c>
      <c r="B14" s="8" t="s">
        <v>20</v>
      </c>
      <c r="C14" s="8" t="s">
        <v>21</v>
      </c>
      <c r="D14" s="8" t="s">
        <v>22</v>
      </c>
    </row>
    <row r="15" spans="1:4" ht="43.5" customHeight="1" x14ac:dyDescent="0.25">
      <c r="A15" s="9">
        <v>1</v>
      </c>
      <c r="B15" s="10" t="s">
        <v>23</v>
      </c>
      <c r="C15" s="11" t="s">
        <v>24</v>
      </c>
      <c r="D15" s="11" t="s">
        <v>25</v>
      </c>
    </row>
    <row r="16" spans="1:4" ht="57.75" customHeight="1" x14ac:dyDescent="0.25">
      <c r="A16" s="9">
        <v>2</v>
      </c>
      <c r="B16" s="10" t="s">
        <v>26</v>
      </c>
      <c r="C16" s="11" t="s">
        <v>27</v>
      </c>
      <c r="D16" s="11" t="s">
        <v>25</v>
      </c>
    </row>
    <row r="17" spans="1:4" ht="109.5" customHeight="1" x14ac:dyDescent="0.25">
      <c r="A17" s="9">
        <v>3</v>
      </c>
      <c r="B17" s="10" t="s">
        <v>28</v>
      </c>
      <c r="C17" s="11" t="s">
        <v>29</v>
      </c>
      <c r="D17" s="11" t="s">
        <v>30</v>
      </c>
    </row>
    <row r="18" spans="1:4" ht="43.5" customHeight="1" x14ac:dyDescent="0.25">
      <c r="A18" s="9">
        <v>4</v>
      </c>
      <c r="B18" s="10" t="s">
        <v>31</v>
      </c>
      <c r="C18" s="11" t="s">
        <v>32</v>
      </c>
      <c r="D18" s="11" t="s">
        <v>33</v>
      </c>
    </row>
    <row r="19" spans="1:4" ht="43.5" customHeight="1" x14ac:dyDescent="0.25">
      <c r="A19" s="9">
        <v>5</v>
      </c>
      <c r="B19" s="10" t="s">
        <v>34</v>
      </c>
      <c r="C19" s="11" t="s">
        <v>35</v>
      </c>
      <c r="D19" s="11" t="s">
        <v>33</v>
      </c>
    </row>
    <row r="20" spans="1:4" ht="43.5" customHeight="1" x14ac:dyDescent="0.25">
      <c r="A20" s="9">
        <v>6</v>
      </c>
      <c r="B20" s="10" t="s">
        <v>36</v>
      </c>
      <c r="C20" s="11" t="s">
        <v>37</v>
      </c>
      <c r="D20" s="11" t="s">
        <v>38</v>
      </c>
    </row>
    <row r="21" spans="1:4" ht="43.5" customHeight="1" x14ac:dyDescent="0.25">
      <c r="A21" s="9">
        <v>7</v>
      </c>
      <c r="B21" s="10" t="s">
        <v>39</v>
      </c>
      <c r="C21" s="11" t="s">
        <v>40</v>
      </c>
      <c r="D21" s="11" t="s">
        <v>41</v>
      </c>
    </row>
    <row r="22" spans="1:4" ht="7.5" customHeight="1" x14ac:dyDescent="0.25">
      <c r="A22" s="78"/>
      <c r="B22" s="78"/>
      <c r="C22" s="78"/>
      <c r="D22" s="78"/>
    </row>
    <row r="23" spans="1:4" ht="25.5" customHeight="1" x14ac:dyDescent="0.25">
      <c r="A23" s="2" t="s">
        <v>42</v>
      </c>
    </row>
    <row r="24" spans="1:4" ht="27.75" customHeight="1" x14ac:dyDescent="0.25">
      <c r="A24" s="8" t="s">
        <v>19</v>
      </c>
      <c r="B24" s="8" t="s">
        <v>43</v>
      </c>
      <c r="C24" s="8" t="s">
        <v>44</v>
      </c>
      <c r="D24" s="8" t="s">
        <v>45</v>
      </c>
    </row>
    <row r="25" spans="1:4" ht="109.5" customHeight="1" x14ac:dyDescent="0.25">
      <c r="A25" s="9">
        <v>1</v>
      </c>
      <c r="B25" s="10" t="s">
        <v>46</v>
      </c>
      <c r="C25" s="11" t="s">
        <v>47</v>
      </c>
      <c r="D25" s="11" t="s">
        <v>48</v>
      </c>
    </row>
    <row r="26" spans="1:4" ht="43.5" customHeight="1" x14ac:dyDescent="0.25">
      <c r="A26" s="9">
        <v>2</v>
      </c>
      <c r="B26" s="10" t="s">
        <v>49</v>
      </c>
      <c r="C26" s="11" t="s">
        <v>50</v>
      </c>
      <c r="D26" s="11" t="s">
        <v>48</v>
      </c>
    </row>
    <row r="27" spans="1:4" ht="43.5" customHeight="1" x14ac:dyDescent="0.25">
      <c r="A27" s="9">
        <v>3</v>
      </c>
      <c r="B27" s="10" t="s">
        <v>51</v>
      </c>
      <c r="C27" s="11" t="s">
        <v>52</v>
      </c>
      <c r="D27" s="11" t="s">
        <v>53</v>
      </c>
    </row>
    <row r="28" spans="1:4" ht="43.5" customHeight="1" x14ac:dyDescent="0.25">
      <c r="A28" s="9">
        <v>4</v>
      </c>
      <c r="B28" s="10" t="s">
        <v>54</v>
      </c>
      <c r="C28" s="11" t="s">
        <v>55</v>
      </c>
      <c r="D28" s="11" t="s">
        <v>56</v>
      </c>
    </row>
    <row r="29" spans="1:4" ht="43.5" customHeight="1" x14ac:dyDescent="0.25">
      <c r="A29" s="9">
        <v>5</v>
      </c>
      <c r="B29" s="10" t="s">
        <v>57</v>
      </c>
      <c r="C29" s="11" t="s">
        <v>58</v>
      </c>
      <c r="D29" s="11" t="s">
        <v>59</v>
      </c>
    </row>
    <row r="30" spans="1:4" ht="43.5" customHeight="1" x14ac:dyDescent="0.25">
      <c r="A30" s="9">
        <v>6</v>
      </c>
      <c r="B30" s="10" t="s">
        <v>60</v>
      </c>
      <c r="C30" s="11" t="s">
        <v>61</v>
      </c>
      <c r="D30" s="11" t="s">
        <v>62</v>
      </c>
    </row>
    <row r="31" spans="1:4" ht="43.5" customHeight="1" x14ac:dyDescent="0.25">
      <c r="A31" s="9">
        <v>7</v>
      </c>
      <c r="B31" s="10" t="s">
        <v>63</v>
      </c>
      <c r="C31" s="11" t="s">
        <v>64</v>
      </c>
      <c r="D31" s="11" t="s">
        <v>65</v>
      </c>
    </row>
    <row r="32" spans="1:4" ht="7.5" customHeight="1" x14ac:dyDescent="0.25">
      <c r="A32" s="78"/>
      <c r="B32" s="78"/>
      <c r="C32" s="78"/>
      <c r="D32" s="78"/>
    </row>
    <row r="33" spans="1:4" ht="25.5" customHeight="1" x14ac:dyDescent="0.25">
      <c r="A33" s="2" t="s">
        <v>66</v>
      </c>
    </row>
    <row r="34" spans="1:4" ht="27.75" customHeight="1" x14ac:dyDescent="0.25">
      <c r="A34" s="8" t="s">
        <v>19</v>
      </c>
      <c r="B34" s="8" t="s">
        <v>67</v>
      </c>
      <c r="C34" s="8" t="s">
        <v>68</v>
      </c>
      <c r="D34" s="8" t="s">
        <v>45</v>
      </c>
    </row>
    <row r="35" spans="1:4" ht="43.5" customHeight="1" x14ac:dyDescent="0.25">
      <c r="A35" s="9">
        <v>1</v>
      </c>
      <c r="B35" s="10" t="s">
        <v>69</v>
      </c>
      <c r="C35" s="11" t="s">
        <v>70</v>
      </c>
      <c r="D35" s="11" t="s">
        <v>4</v>
      </c>
    </row>
    <row r="36" spans="1:4" ht="27.75" customHeight="1" x14ac:dyDescent="0.25">
      <c r="A36" s="9">
        <v>2</v>
      </c>
      <c r="B36" s="10" t="s">
        <v>71</v>
      </c>
      <c r="C36" s="11" t="s">
        <v>72</v>
      </c>
      <c r="D36" s="11" t="s">
        <v>4</v>
      </c>
    </row>
    <row r="37" spans="1:4" ht="27.75" customHeight="1" x14ac:dyDescent="0.25">
      <c r="A37" s="9">
        <v>3</v>
      </c>
      <c r="B37" s="10" t="s">
        <v>73</v>
      </c>
      <c r="C37" s="11" t="s">
        <v>74</v>
      </c>
      <c r="D37" s="11" t="s">
        <v>4</v>
      </c>
    </row>
    <row r="38" spans="1:4" ht="27.75" customHeight="1" x14ac:dyDescent="0.25">
      <c r="A38" s="9">
        <v>4</v>
      </c>
      <c r="B38" s="10" t="s">
        <v>75</v>
      </c>
      <c r="C38" s="11" t="s">
        <v>76</v>
      </c>
      <c r="D38" s="11" t="s">
        <v>4</v>
      </c>
    </row>
    <row r="39" spans="1:4" ht="43.5" customHeight="1" x14ac:dyDescent="0.25">
      <c r="A39" s="9">
        <v>5</v>
      </c>
      <c r="B39" s="10" t="s">
        <v>77</v>
      </c>
      <c r="C39" s="11" t="s">
        <v>78</v>
      </c>
      <c r="D39" s="11" t="s">
        <v>4</v>
      </c>
    </row>
    <row r="40" spans="1:4" ht="27.75" customHeight="1" x14ac:dyDescent="0.25">
      <c r="A40" s="9">
        <v>6</v>
      </c>
      <c r="B40" s="10" t="s">
        <v>79</v>
      </c>
      <c r="C40" s="11" t="s">
        <v>80</v>
      </c>
      <c r="D40" s="11" t="s">
        <v>4</v>
      </c>
    </row>
    <row r="41" spans="1:4" ht="27.75" customHeight="1" x14ac:dyDescent="0.25">
      <c r="A41" s="9">
        <v>7</v>
      </c>
      <c r="B41" s="10" t="s">
        <v>81</v>
      </c>
      <c r="C41" s="11" t="s">
        <v>82</v>
      </c>
      <c r="D41" s="11" t="s">
        <v>4</v>
      </c>
    </row>
    <row r="42" spans="1:4" ht="43.5" customHeight="1" x14ac:dyDescent="0.25">
      <c r="A42" s="9">
        <v>8</v>
      </c>
      <c r="B42" s="10" t="s">
        <v>83</v>
      </c>
      <c r="C42" s="11" t="s">
        <v>84</v>
      </c>
      <c r="D42" s="11" t="s">
        <v>4</v>
      </c>
    </row>
    <row r="43" spans="1:4" ht="27.75" customHeight="1" x14ac:dyDescent="0.25">
      <c r="A43" s="9">
        <v>9</v>
      </c>
      <c r="B43" s="10" t="s">
        <v>83</v>
      </c>
      <c r="C43" s="11" t="s">
        <v>85</v>
      </c>
      <c r="D43" s="11" t="s">
        <v>10</v>
      </c>
    </row>
    <row r="44" spans="1:4" ht="27.75" customHeight="1" x14ac:dyDescent="0.25">
      <c r="A44" s="9">
        <v>10</v>
      </c>
      <c r="B44" s="10" t="s">
        <v>83</v>
      </c>
      <c r="C44" s="11" t="s">
        <v>86</v>
      </c>
      <c r="D44" s="11" t="s">
        <v>6</v>
      </c>
    </row>
    <row r="45" spans="1:4" ht="27.75" customHeight="1" x14ac:dyDescent="0.25">
      <c r="A45" s="9">
        <v>11</v>
      </c>
      <c r="B45" s="10" t="s">
        <v>83</v>
      </c>
      <c r="C45" s="11" t="s">
        <v>86</v>
      </c>
      <c r="D45" s="11" t="s">
        <v>8</v>
      </c>
    </row>
    <row r="46" spans="1:4" ht="43.5" customHeight="1" x14ac:dyDescent="0.25">
      <c r="A46" s="9">
        <v>12</v>
      </c>
      <c r="B46" s="10" t="s">
        <v>87</v>
      </c>
      <c r="C46" s="11" t="s">
        <v>88</v>
      </c>
      <c r="D46" s="11" t="s">
        <v>12</v>
      </c>
    </row>
    <row r="47" spans="1:4" ht="27.75" customHeight="1" x14ac:dyDescent="0.25">
      <c r="A47" s="9">
        <v>13</v>
      </c>
      <c r="B47" s="10" t="s">
        <v>83</v>
      </c>
      <c r="C47" s="11" t="s">
        <v>89</v>
      </c>
      <c r="D47" s="11" t="s">
        <v>14</v>
      </c>
    </row>
    <row r="48" spans="1:4" ht="7.5" customHeight="1" x14ac:dyDescent="0.25">
      <c r="A48" s="78"/>
      <c r="B48" s="78"/>
      <c r="C48" s="78"/>
      <c r="D48" s="78"/>
    </row>
    <row r="49" spans="1:4" ht="25.5" customHeight="1" x14ac:dyDescent="0.25">
      <c r="A49" s="2" t="s">
        <v>90</v>
      </c>
    </row>
    <row r="50" spans="1:4" ht="30" customHeight="1" x14ac:dyDescent="0.25">
      <c r="A50" s="12"/>
      <c r="B50" s="82" t="s">
        <v>91</v>
      </c>
      <c r="C50" s="82"/>
      <c r="D50" s="82"/>
    </row>
    <row r="51" spans="1:4" ht="30" customHeight="1" x14ac:dyDescent="0.25">
      <c r="A51" s="13"/>
      <c r="B51" s="79" t="s">
        <v>92</v>
      </c>
      <c r="C51" s="79"/>
      <c r="D51" s="79"/>
    </row>
    <row r="52" spans="1:4" ht="30" customHeight="1" x14ac:dyDescent="0.25">
      <c r="A52" s="14"/>
      <c r="B52" s="80" t="s">
        <v>93</v>
      </c>
      <c r="C52" s="80"/>
      <c r="D52" s="80"/>
    </row>
    <row r="53" spans="1:4" ht="7.5" customHeight="1" x14ac:dyDescent="0.25">
      <c r="A53" s="78"/>
      <c r="B53" s="78"/>
      <c r="C53" s="78"/>
      <c r="D53" s="78"/>
    </row>
    <row r="54" spans="1:4" ht="25.5" customHeight="1" x14ac:dyDescent="0.25">
      <c r="A54" s="2" t="s">
        <v>94</v>
      </c>
    </row>
    <row r="55" spans="1:4" ht="27.75" customHeight="1" x14ac:dyDescent="0.25">
      <c r="A55" s="15" t="s">
        <v>19</v>
      </c>
      <c r="B55" s="15" t="s">
        <v>45</v>
      </c>
      <c r="C55" s="15" t="s">
        <v>95</v>
      </c>
      <c r="D55" s="15" t="s">
        <v>96</v>
      </c>
    </row>
    <row r="56" spans="1:4" ht="43.5" customHeight="1" x14ac:dyDescent="0.25">
      <c r="A56" s="16">
        <v>1</v>
      </c>
      <c r="B56" s="17" t="s">
        <v>4</v>
      </c>
      <c r="C56" s="77" t="s">
        <v>97</v>
      </c>
      <c r="D56" s="18" t="s">
        <v>98</v>
      </c>
    </row>
    <row r="57" spans="1:4" ht="48" customHeight="1" x14ac:dyDescent="0.25">
      <c r="A57" s="16">
        <v>2</v>
      </c>
      <c r="B57" s="17" t="s">
        <v>10</v>
      </c>
      <c r="C57" s="77" t="s">
        <v>99</v>
      </c>
      <c r="D57" s="18" t="s">
        <v>100</v>
      </c>
    </row>
    <row r="58" spans="1:4" ht="43.5" customHeight="1" x14ac:dyDescent="0.25">
      <c r="A58" s="16">
        <v>3</v>
      </c>
      <c r="B58" s="17" t="s">
        <v>6</v>
      </c>
      <c r="C58" s="18" t="s">
        <v>101</v>
      </c>
      <c r="D58" s="18" t="s">
        <v>102</v>
      </c>
    </row>
    <row r="59" spans="1:4" ht="43.5" customHeight="1" x14ac:dyDescent="0.25">
      <c r="A59" s="16">
        <v>4</v>
      </c>
      <c r="B59" s="17" t="s">
        <v>8</v>
      </c>
      <c r="C59" s="77" t="s">
        <v>101</v>
      </c>
      <c r="D59" s="18" t="s">
        <v>102</v>
      </c>
    </row>
    <row r="60" spans="1:4" ht="43.5" customHeight="1" x14ac:dyDescent="0.25">
      <c r="A60" s="16">
        <v>5</v>
      </c>
      <c r="B60" s="17" t="s">
        <v>214</v>
      </c>
      <c r="C60" s="77" t="s">
        <v>215</v>
      </c>
      <c r="D60" s="77" t="s">
        <v>216</v>
      </c>
    </row>
    <row r="61" spans="1:4" ht="7.5" customHeight="1" x14ac:dyDescent="0.25">
      <c r="A61" s="78"/>
      <c r="B61" s="78"/>
      <c r="C61" s="78"/>
      <c r="D61" s="78"/>
    </row>
    <row r="62" spans="1:4" ht="25.5" customHeight="1" x14ac:dyDescent="0.25">
      <c r="A62" s="81" t="s">
        <v>103</v>
      </c>
      <c r="B62" s="81"/>
      <c r="C62" s="81"/>
      <c r="D62" s="81"/>
    </row>
    <row r="63" spans="1:4" ht="7.5" customHeight="1" x14ac:dyDescent="0.25">
      <c r="A63" s="78"/>
      <c r="B63" s="78"/>
      <c r="C63" s="78"/>
      <c r="D63" s="78"/>
    </row>
    <row r="64" spans="1:4" ht="25.5" customHeight="1" x14ac:dyDescent="0.25">
      <c r="A64" s="19" t="s">
        <v>104</v>
      </c>
    </row>
    <row r="65" spans="1:4" ht="27.75" customHeight="1" x14ac:dyDescent="0.25">
      <c r="A65" s="15" t="s">
        <v>19</v>
      </c>
      <c r="B65" s="15" t="s">
        <v>105</v>
      </c>
      <c r="C65" s="15" t="s">
        <v>106</v>
      </c>
      <c r="D65" s="15" t="s">
        <v>22</v>
      </c>
    </row>
    <row r="66" spans="1:4" ht="72" customHeight="1" x14ac:dyDescent="0.25">
      <c r="A66" s="16">
        <v>1</v>
      </c>
      <c r="B66" s="17" t="s">
        <v>107</v>
      </c>
      <c r="C66" s="18" t="s">
        <v>108</v>
      </c>
      <c r="D66" s="18" t="s">
        <v>109</v>
      </c>
    </row>
    <row r="67" spans="1:4" ht="144" customHeight="1" x14ac:dyDescent="0.25">
      <c r="A67" s="16">
        <v>2</v>
      </c>
      <c r="B67" s="17" t="s">
        <v>110</v>
      </c>
      <c r="C67" s="18" t="s">
        <v>111</v>
      </c>
      <c r="D67" s="18" t="s">
        <v>112</v>
      </c>
    </row>
    <row r="68" spans="1:4" ht="99.75" customHeight="1" x14ac:dyDescent="0.25">
      <c r="A68" s="16">
        <v>3</v>
      </c>
      <c r="B68" s="17" t="s">
        <v>113</v>
      </c>
      <c r="C68" s="18" t="s">
        <v>114</v>
      </c>
      <c r="D68" s="18" t="s">
        <v>115</v>
      </c>
    </row>
    <row r="69" spans="1:4" ht="60" customHeight="1" x14ac:dyDescent="0.25">
      <c r="A69" s="16">
        <v>4</v>
      </c>
      <c r="B69" s="17" t="s">
        <v>116</v>
      </c>
      <c r="C69" s="18" t="s">
        <v>117</v>
      </c>
      <c r="D69" s="18" t="s">
        <v>118</v>
      </c>
    </row>
    <row r="70" spans="1:4" ht="63.75" x14ac:dyDescent="0.25">
      <c r="A70" s="16">
        <v>5</v>
      </c>
      <c r="B70" s="17" t="s">
        <v>211</v>
      </c>
      <c r="C70" s="77" t="s">
        <v>212</v>
      </c>
      <c r="D70" s="77" t="s">
        <v>213</v>
      </c>
    </row>
  </sheetData>
  <mergeCells count="21">
    <mergeCell ref="A1:D1"/>
    <mergeCell ref="A3:D3"/>
    <mergeCell ref="C4:D4"/>
    <mergeCell ref="C5:D5"/>
    <mergeCell ref="C6:D6"/>
    <mergeCell ref="C7:D7"/>
    <mergeCell ref="C8:D8"/>
    <mergeCell ref="C9:D9"/>
    <mergeCell ref="C10:D10"/>
    <mergeCell ref="C11:D11"/>
    <mergeCell ref="A12:D12"/>
    <mergeCell ref="A22:D22"/>
    <mergeCell ref="A32:D32"/>
    <mergeCell ref="A48:D48"/>
    <mergeCell ref="B50:D50"/>
    <mergeCell ref="A63:D63"/>
    <mergeCell ref="B51:D51"/>
    <mergeCell ref="B52:D52"/>
    <mergeCell ref="A53:D53"/>
    <mergeCell ref="A61:D61"/>
    <mergeCell ref="A62:D62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4"/>
  <sheetViews>
    <sheetView zoomScaleNormal="100" workbookViewId="0">
      <pane ySplit="2" topLeftCell="A3" activePane="bottomLeft" state="frozen"/>
      <selection pane="bottomLeft" sqref="A1:H1"/>
    </sheetView>
  </sheetViews>
  <sheetFormatPr defaultColWidth="8.7109375" defaultRowHeight="15" x14ac:dyDescent="0.25"/>
  <cols>
    <col min="1" max="1" width="14" customWidth="1"/>
    <col min="2" max="2" width="16" customWidth="1"/>
    <col min="3" max="3" width="14" customWidth="1"/>
    <col min="4" max="4" width="18" customWidth="1"/>
    <col min="5" max="5" width="16" customWidth="1"/>
    <col min="6" max="8" width="18" customWidth="1"/>
  </cols>
  <sheetData>
    <row r="1" spans="1:8" ht="31.5" customHeight="1" x14ac:dyDescent="0.25">
      <c r="A1" s="86" t="s">
        <v>119</v>
      </c>
      <c r="B1" s="86"/>
      <c r="C1" s="86"/>
      <c r="D1" s="86"/>
      <c r="E1" s="86"/>
      <c r="F1" s="86"/>
      <c r="G1" s="86"/>
      <c r="H1" s="86"/>
    </row>
    <row r="2" spans="1:8" ht="36" customHeight="1" x14ac:dyDescent="0.25">
      <c r="A2" s="1" t="s">
        <v>120</v>
      </c>
      <c r="B2" s="1" t="s">
        <v>121</v>
      </c>
      <c r="C2" s="1" t="s">
        <v>122</v>
      </c>
      <c r="D2" s="1" t="s">
        <v>123</v>
      </c>
      <c r="E2" s="1" t="s">
        <v>124</v>
      </c>
      <c r="F2" s="1" t="s">
        <v>125</v>
      </c>
      <c r="G2" s="1" t="s">
        <v>126</v>
      </c>
      <c r="H2" s="1" t="s">
        <v>127</v>
      </c>
    </row>
    <row r="3" spans="1:8" ht="19.5" customHeight="1" x14ac:dyDescent="0.25">
      <c r="A3" s="20" t="s">
        <v>128</v>
      </c>
      <c r="B3" s="20" t="s">
        <v>129</v>
      </c>
      <c r="C3" s="21" t="s">
        <v>130</v>
      </c>
      <c r="D3" s="22">
        <v>12.5</v>
      </c>
      <c r="E3" s="22">
        <v>8</v>
      </c>
      <c r="F3" s="22">
        <v>0.5</v>
      </c>
      <c r="G3" s="22">
        <v>100</v>
      </c>
      <c r="H3" s="22">
        <v>100</v>
      </c>
    </row>
    <row r="4" spans="1:8" ht="19.5" customHeight="1" x14ac:dyDescent="0.25">
      <c r="A4" s="20" t="s">
        <v>128</v>
      </c>
      <c r="B4" s="20" t="s">
        <v>131</v>
      </c>
      <c r="C4" s="21" t="s">
        <v>130</v>
      </c>
      <c r="D4" s="22">
        <v>12.5</v>
      </c>
      <c r="E4" s="22">
        <v>8</v>
      </c>
      <c r="F4" s="22">
        <v>0.5</v>
      </c>
      <c r="G4" s="22">
        <v>100</v>
      </c>
      <c r="H4" s="22">
        <v>100</v>
      </c>
    </row>
    <row r="5" spans="1:8" ht="19.5" customHeight="1" x14ac:dyDescent="0.25">
      <c r="A5" s="20" t="s">
        <v>128</v>
      </c>
      <c r="B5" s="20" t="s">
        <v>132</v>
      </c>
      <c r="C5" s="21" t="s">
        <v>130</v>
      </c>
      <c r="D5" s="22">
        <v>12.5</v>
      </c>
      <c r="E5" s="22">
        <v>8</v>
      </c>
      <c r="F5" s="22">
        <v>0.5</v>
      </c>
      <c r="G5" s="22">
        <v>100</v>
      </c>
      <c r="H5" s="22">
        <v>100</v>
      </c>
    </row>
    <row r="6" spans="1:8" ht="19.5" customHeight="1" x14ac:dyDescent="0.25">
      <c r="A6" s="20" t="s">
        <v>128</v>
      </c>
      <c r="B6" s="20" t="s">
        <v>133</v>
      </c>
      <c r="C6" s="21" t="s">
        <v>130</v>
      </c>
      <c r="D6" s="22">
        <v>12.5</v>
      </c>
      <c r="E6" s="22">
        <v>8</v>
      </c>
      <c r="F6" s="22">
        <v>0.5</v>
      </c>
      <c r="G6" s="22">
        <v>100</v>
      </c>
      <c r="H6" s="22">
        <v>100</v>
      </c>
    </row>
    <row r="7" spans="1:8" ht="19.5" customHeight="1" x14ac:dyDescent="0.25">
      <c r="A7" s="23" t="s">
        <v>134</v>
      </c>
      <c r="B7" s="23" t="s">
        <v>135</v>
      </c>
      <c r="C7" s="24" t="s">
        <v>130</v>
      </c>
      <c r="D7" s="22">
        <v>13.5</v>
      </c>
      <c r="E7" s="22">
        <v>8</v>
      </c>
      <c r="F7" s="22">
        <v>0.5</v>
      </c>
      <c r="G7" s="22">
        <v>72</v>
      </c>
      <c r="H7" s="22">
        <v>72</v>
      </c>
    </row>
    <row r="8" spans="1:8" ht="19.5" customHeight="1" x14ac:dyDescent="0.25">
      <c r="A8" s="23" t="s">
        <v>134</v>
      </c>
      <c r="B8" s="23" t="s">
        <v>136</v>
      </c>
      <c r="C8" s="24" t="s">
        <v>130</v>
      </c>
      <c r="D8" s="22">
        <v>13.5</v>
      </c>
      <c r="E8" s="22">
        <v>8</v>
      </c>
      <c r="F8" s="22">
        <v>0.5</v>
      </c>
      <c r="G8" s="22">
        <v>108</v>
      </c>
      <c r="H8" s="22">
        <v>108</v>
      </c>
    </row>
    <row r="9" spans="1:8" ht="19.5" customHeight="1" x14ac:dyDescent="0.25">
      <c r="A9" s="23" t="s">
        <v>134</v>
      </c>
      <c r="B9" s="23" t="s">
        <v>137</v>
      </c>
      <c r="C9" s="24" t="s">
        <v>130</v>
      </c>
      <c r="D9" s="22">
        <v>9</v>
      </c>
      <c r="E9" s="22">
        <v>8</v>
      </c>
      <c r="F9" s="22">
        <v>0.5</v>
      </c>
      <c r="G9" s="22">
        <v>72</v>
      </c>
      <c r="H9" s="22">
        <v>72</v>
      </c>
    </row>
    <row r="10" spans="1:8" ht="19.5" customHeight="1" x14ac:dyDescent="0.25">
      <c r="A10" s="25" t="s">
        <v>138</v>
      </c>
      <c r="B10" s="25" t="s">
        <v>139</v>
      </c>
      <c r="C10" s="26" t="s">
        <v>140</v>
      </c>
      <c r="D10" s="22">
        <v>62.5</v>
      </c>
      <c r="E10" s="22">
        <v>8</v>
      </c>
      <c r="F10" s="22">
        <v>0.5</v>
      </c>
      <c r="G10" s="22">
        <v>500</v>
      </c>
      <c r="H10" s="22">
        <v>500</v>
      </c>
    </row>
    <row r="11" spans="1:8" ht="19.5" customHeight="1" x14ac:dyDescent="0.25">
      <c r="A11" s="25" t="s">
        <v>138</v>
      </c>
      <c r="B11" s="25" t="s">
        <v>141</v>
      </c>
      <c r="C11" s="26" t="s">
        <v>140</v>
      </c>
      <c r="D11" s="22">
        <v>93.75</v>
      </c>
      <c r="E11" s="22">
        <v>8</v>
      </c>
      <c r="F11" s="22">
        <v>0.5</v>
      </c>
      <c r="G11" s="22">
        <v>750</v>
      </c>
      <c r="H11" s="22">
        <v>750</v>
      </c>
    </row>
    <row r="12" spans="1:8" ht="19.5" customHeight="1" x14ac:dyDescent="0.25">
      <c r="A12" s="25" t="s">
        <v>138</v>
      </c>
      <c r="B12" s="25" t="s">
        <v>142</v>
      </c>
      <c r="C12" s="26" t="s">
        <v>140</v>
      </c>
      <c r="D12" s="22">
        <v>93.75</v>
      </c>
      <c r="E12" s="22">
        <v>8</v>
      </c>
      <c r="F12" s="22">
        <v>0.5</v>
      </c>
      <c r="G12" s="22">
        <v>750</v>
      </c>
      <c r="H12" s="22">
        <v>750</v>
      </c>
    </row>
    <row r="13" spans="1:8" ht="19.5" customHeight="1" x14ac:dyDescent="0.25">
      <c r="A13" s="27" t="s">
        <v>143</v>
      </c>
      <c r="B13" s="27" t="s">
        <v>144</v>
      </c>
      <c r="C13" s="28" t="s">
        <v>145</v>
      </c>
      <c r="D13" s="22">
        <v>9.3800000000000008</v>
      </c>
      <c r="E13" s="22">
        <v>8</v>
      </c>
      <c r="F13" s="22">
        <v>0.5</v>
      </c>
      <c r="G13" s="22">
        <v>75</v>
      </c>
      <c r="H13" s="22">
        <v>75</v>
      </c>
    </row>
    <row r="14" spans="1:8" ht="19.5" customHeight="1" x14ac:dyDescent="0.25">
      <c r="A14" s="27" t="s">
        <v>143</v>
      </c>
      <c r="B14" s="27" t="s">
        <v>146</v>
      </c>
      <c r="C14" s="28" t="s">
        <v>145</v>
      </c>
      <c r="D14" s="22">
        <v>9.3800000000000008</v>
      </c>
      <c r="E14" s="22">
        <v>8</v>
      </c>
      <c r="F14" s="22">
        <v>0.5</v>
      </c>
      <c r="G14" s="22">
        <v>75</v>
      </c>
      <c r="H14" s="22">
        <v>75</v>
      </c>
    </row>
    <row r="15" spans="1:8" ht="19.5" customHeight="1" x14ac:dyDescent="0.25">
      <c r="A15" s="27" t="s">
        <v>143</v>
      </c>
      <c r="B15" s="27" t="s">
        <v>147</v>
      </c>
      <c r="C15" s="28" t="s">
        <v>145</v>
      </c>
      <c r="D15" s="22">
        <v>9.3800000000000008</v>
      </c>
      <c r="E15" s="22">
        <v>8</v>
      </c>
      <c r="F15" s="22">
        <v>0.5</v>
      </c>
      <c r="G15" s="22">
        <v>75</v>
      </c>
      <c r="H15" s="22">
        <v>75</v>
      </c>
    </row>
    <row r="16" spans="1:8" ht="19.5" customHeight="1" x14ac:dyDescent="0.25">
      <c r="A16" s="27" t="s">
        <v>143</v>
      </c>
      <c r="B16" s="27" t="s">
        <v>148</v>
      </c>
      <c r="C16" s="28" t="s">
        <v>145</v>
      </c>
      <c r="D16" s="22">
        <v>9.3800000000000008</v>
      </c>
      <c r="E16" s="22">
        <v>8</v>
      </c>
      <c r="F16" s="22">
        <v>0.5</v>
      </c>
      <c r="G16" s="22">
        <v>75</v>
      </c>
      <c r="H16" s="22">
        <v>75</v>
      </c>
    </row>
    <row r="17" spans="1:8" ht="19.5" customHeight="1" x14ac:dyDescent="0.25">
      <c r="A17" s="27" t="s">
        <v>143</v>
      </c>
      <c r="B17" s="27" t="s">
        <v>149</v>
      </c>
      <c r="C17" s="28" t="s">
        <v>145</v>
      </c>
      <c r="D17" s="22">
        <v>9.3800000000000008</v>
      </c>
      <c r="E17" s="22">
        <v>8</v>
      </c>
      <c r="F17" s="22">
        <v>0.5</v>
      </c>
      <c r="G17" s="22">
        <v>75</v>
      </c>
      <c r="H17" s="22">
        <v>75</v>
      </c>
    </row>
    <row r="18" spans="1:8" ht="19.5" customHeight="1" x14ac:dyDescent="0.25">
      <c r="A18" s="27" t="s">
        <v>143</v>
      </c>
      <c r="B18" s="27" t="s">
        <v>150</v>
      </c>
      <c r="C18" s="28" t="s">
        <v>145</v>
      </c>
      <c r="D18" s="22">
        <v>9.3800000000000008</v>
      </c>
      <c r="E18" s="22">
        <v>8</v>
      </c>
      <c r="F18" s="22">
        <v>0.5</v>
      </c>
      <c r="G18" s="22">
        <v>75</v>
      </c>
      <c r="H18" s="22">
        <v>75</v>
      </c>
    </row>
    <row r="19" spans="1:8" ht="19.5" customHeight="1" x14ac:dyDescent="0.25">
      <c r="A19" s="27" t="s">
        <v>143</v>
      </c>
      <c r="B19" s="27" t="s">
        <v>151</v>
      </c>
      <c r="C19" s="28" t="s">
        <v>145</v>
      </c>
      <c r="D19" s="22">
        <v>9.3800000000000008</v>
      </c>
      <c r="E19" s="22">
        <v>8</v>
      </c>
      <c r="F19" s="22">
        <v>0.5</v>
      </c>
      <c r="G19" s="22">
        <v>75</v>
      </c>
      <c r="H19" s="22">
        <v>75</v>
      </c>
    </row>
    <row r="20" spans="1:8" ht="19.5" customHeight="1" x14ac:dyDescent="0.25">
      <c r="A20" s="29" t="s">
        <v>152</v>
      </c>
      <c r="B20" s="29" t="s">
        <v>153</v>
      </c>
      <c r="C20" s="30" t="s">
        <v>145</v>
      </c>
      <c r="D20" s="22">
        <v>9.3800000000000008</v>
      </c>
      <c r="E20" s="22">
        <v>8</v>
      </c>
      <c r="F20" s="22">
        <v>0.5</v>
      </c>
      <c r="G20" s="22">
        <v>75</v>
      </c>
      <c r="H20" s="22">
        <v>75</v>
      </c>
    </row>
    <row r="21" spans="1:8" ht="19.5" customHeight="1" x14ac:dyDescent="0.25">
      <c r="A21" s="29" t="s">
        <v>152</v>
      </c>
      <c r="B21" s="29" t="s">
        <v>154</v>
      </c>
      <c r="C21" s="30" t="s">
        <v>145</v>
      </c>
      <c r="D21" s="22">
        <v>9.3800000000000008</v>
      </c>
      <c r="E21" s="22">
        <v>8</v>
      </c>
      <c r="F21" s="22">
        <v>0.5</v>
      </c>
      <c r="G21" s="22">
        <v>75</v>
      </c>
      <c r="H21" s="22">
        <v>75</v>
      </c>
    </row>
    <row r="22" spans="1:8" ht="15" customHeight="1" x14ac:dyDescent="0.25">
      <c r="A22" s="3"/>
      <c r="B22" s="3"/>
      <c r="C22" s="3"/>
      <c r="D22" s="3"/>
      <c r="E22" s="3"/>
      <c r="F22" s="3"/>
      <c r="G22" s="3"/>
      <c r="H22" s="3"/>
    </row>
    <row r="23" spans="1:8" ht="24" customHeight="1" x14ac:dyDescent="0.25">
      <c r="A23" s="87" t="s">
        <v>155</v>
      </c>
      <c r="B23" s="87"/>
      <c r="C23" s="87"/>
      <c r="D23" s="87"/>
      <c r="E23" s="87"/>
      <c r="F23" s="87"/>
      <c r="G23" s="87"/>
      <c r="H23" s="87"/>
    </row>
    <row r="24" spans="1:8" ht="15" customHeight="1" x14ac:dyDescent="0.25">
      <c r="A24" s="3"/>
      <c r="B24" s="3"/>
      <c r="C24" s="3"/>
      <c r="D24" s="3"/>
      <c r="E24" s="3"/>
      <c r="F24" s="3"/>
      <c r="G24" s="3"/>
      <c r="H24" s="3"/>
    </row>
  </sheetData>
  <mergeCells count="2">
    <mergeCell ref="A1:H1"/>
    <mergeCell ref="A23:H23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45"/>
  <sheetViews>
    <sheetView tabSelected="1" zoomScaleNormal="100" workbookViewId="0">
      <pane ySplit="2" topLeftCell="A3" activePane="bottomLeft" state="frozen"/>
      <selection pane="bottomLeft" activeCell="G10" sqref="G10"/>
    </sheetView>
  </sheetViews>
  <sheetFormatPr defaultColWidth="8.7109375" defaultRowHeight="15" x14ac:dyDescent="0.25"/>
  <cols>
    <col min="1" max="1" width="13" customWidth="1"/>
    <col min="2" max="2" width="16" customWidth="1"/>
    <col min="3" max="4" width="9" customWidth="1"/>
    <col min="5" max="6" width="14" customWidth="1"/>
    <col min="7" max="7" width="18" customWidth="1"/>
    <col min="8" max="8" width="14" customWidth="1"/>
    <col min="9" max="9" width="13" customWidth="1"/>
    <col min="10" max="11" width="22" customWidth="1"/>
  </cols>
  <sheetData>
    <row r="1" spans="1:10" ht="33.75" customHeight="1" x14ac:dyDescent="0.25">
      <c r="A1" s="88" t="s">
        <v>156</v>
      </c>
      <c r="B1" s="88"/>
      <c r="C1" s="88"/>
      <c r="D1" s="88"/>
      <c r="E1" s="31">
        <v>45748</v>
      </c>
      <c r="F1" s="89" t="s">
        <v>157</v>
      </c>
      <c r="G1" s="89"/>
      <c r="H1" s="89"/>
      <c r="I1" s="89"/>
      <c r="J1" s="89"/>
    </row>
    <row r="2" spans="1:10" ht="42" customHeight="1" x14ac:dyDescent="0.25">
      <c r="A2" s="32" t="s">
        <v>158</v>
      </c>
      <c r="B2" s="32" t="s">
        <v>159</v>
      </c>
      <c r="C2" s="32" t="s">
        <v>160</v>
      </c>
      <c r="D2" s="32" t="s">
        <v>161</v>
      </c>
      <c r="E2" s="32" t="s">
        <v>162</v>
      </c>
      <c r="F2" s="32" t="s">
        <v>163</v>
      </c>
      <c r="G2" s="32" t="s">
        <v>164</v>
      </c>
      <c r="H2" s="32" t="s">
        <v>165</v>
      </c>
      <c r="I2" s="32" t="s">
        <v>166</v>
      </c>
      <c r="J2" s="32" t="s">
        <v>167</v>
      </c>
    </row>
    <row r="3" spans="1:10" ht="19.5" customHeight="1" x14ac:dyDescent="0.25">
      <c r="A3" s="33" t="str">
        <f>IFERROR(INDEX(_Lists!$B:$B,MATCH(B3,_Lists!$A:$A,0)),"")</f>
        <v>BONNELL</v>
      </c>
      <c r="B3" s="34" t="s">
        <v>129</v>
      </c>
      <c r="C3" s="35" t="s">
        <v>168</v>
      </c>
      <c r="D3" s="33">
        <f>IF(C3="Day",INDEX(Machine_Master!$G:$G,MATCH(B3,Machine_Master!$B:$B,0)),INDEX(Machine_Master!$H:$H,MATCH(B3,Machine_Master!$B:$B,0)))</f>
        <v>100</v>
      </c>
      <c r="E3" s="36"/>
      <c r="F3" s="36"/>
      <c r="G3" s="36"/>
      <c r="H3" s="36"/>
      <c r="I3" s="36"/>
      <c r="J3" s="36"/>
    </row>
    <row r="4" spans="1:10" ht="19.5" customHeight="1" x14ac:dyDescent="0.25">
      <c r="A4" s="33" t="str">
        <f>IFERROR(INDEX(_Lists!$B:$B,MATCH(B4,_Lists!$A:$A,0)),"")</f>
        <v>BONNELL</v>
      </c>
      <c r="B4" s="34" t="s">
        <v>131</v>
      </c>
      <c r="C4" s="35" t="s">
        <v>168</v>
      </c>
      <c r="D4" s="33">
        <f>IF(C4="Day",INDEX(Machine_Master!$G:$G,MATCH(B4,Machine_Master!$B:$B,0)),INDEX(Machine_Master!$H:$H,MATCH(B4,Machine_Master!$B:$B,0)))</f>
        <v>100</v>
      </c>
      <c r="E4" s="36"/>
      <c r="F4" s="36"/>
      <c r="G4" s="36"/>
      <c r="H4" s="36"/>
      <c r="I4" s="36"/>
      <c r="J4" s="36"/>
    </row>
    <row r="5" spans="1:10" ht="19.5" customHeight="1" x14ac:dyDescent="0.25">
      <c r="A5" s="33" t="str">
        <f>IFERROR(INDEX(_Lists!$B:$B,MATCH(B5,_Lists!$A:$A,0)),"")</f>
        <v>BONNELL</v>
      </c>
      <c r="B5" s="34" t="s">
        <v>132</v>
      </c>
      <c r="C5" s="35" t="s">
        <v>168</v>
      </c>
      <c r="D5" s="33">
        <f>IF(C5="Day",INDEX(Machine_Master!$G:$G,MATCH(B5,Machine_Master!$B:$B,0)),INDEX(Machine_Master!$H:$H,MATCH(B5,Machine_Master!$B:$B,0)))</f>
        <v>100</v>
      </c>
      <c r="E5" s="36"/>
      <c r="F5" s="36"/>
      <c r="G5" s="36"/>
      <c r="H5" s="36"/>
      <c r="I5" s="36"/>
      <c r="J5" s="36"/>
    </row>
    <row r="6" spans="1:10" ht="19.5" customHeight="1" x14ac:dyDescent="0.25">
      <c r="A6" s="33" t="str">
        <f>IFERROR(INDEX(_Lists!$B:$B,MATCH(B6,_Lists!$A:$A,0)),"")</f>
        <v>BONNELL</v>
      </c>
      <c r="B6" s="34" t="s">
        <v>133</v>
      </c>
      <c r="C6" s="35" t="s">
        <v>168</v>
      </c>
      <c r="D6" s="33">
        <f>IF(C6="Day",INDEX(Machine_Master!$G:$G,MATCH(B6,Machine_Master!$B:$B,0)),INDEX(Machine_Master!$H:$H,MATCH(B6,Machine_Master!$B:$B,0)))</f>
        <v>100</v>
      </c>
      <c r="E6" s="36"/>
      <c r="F6" s="36"/>
      <c r="G6" s="36"/>
      <c r="H6" s="36"/>
      <c r="I6" s="36"/>
      <c r="J6" s="36"/>
    </row>
    <row r="7" spans="1:10" ht="19.5" customHeight="1" x14ac:dyDescent="0.25">
      <c r="A7" s="33" t="str">
        <f>IFERROR(INDEX(_Lists!$B:$B,MATCH(B7,_Lists!$A:$A,0)),"")</f>
        <v>POCKETED</v>
      </c>
      <c r="B7" s="34" t="s">
        <v>136</v>
      </c>
      <c r="C7" s="35" t="s">
        <v>168</v>
      </c>
      <c r="D7" s="33">
        <f>IF(C7="Day",INDEX(Machine_Master!$G:$G,MATCH(B7,Machine_Master!$B:$B,0)),INDEX(Machine_Master!$H:$H,MATCH(B7,Machine_Master!$B:$B,0)))</f>
        <v>108</v>
      </c>
      <c r="E7" s="36"/>
      <c r="F7" s="36"/>
      <c r="G7" s="36"/>
      <c r="H7" s="36"/>
      <c r="I7" s="36"/>
      <c r="J7" s="36"/>
    </row>
    <row r="8" spans="1:10" ht="19.5" customHeight="1" x14ac:dyDescent="0.25">
      <c r="A8" s="33" t="str">
        <f>IFERROR(INDEX(_Lists!$B:$B,MATCH(B8,_Lists!$A:$A,0)),"")</f>
        <v>POCKETED</v>
      </c>
      <c r="B8" s="34" t="s">
        <v>137</v>
      </c>
      <c r="C8" s="35" t="s">
        <v>168</v>
      </c>
      <c r="D8" s="33">
        <f>IF(C8="Day",INDEX(Machine_Master!$G:$G,MATCH(B8,Machine_Master!$B:$B,0)),INDEX(Machine_Master!$H:$H,MATCH(B8,Machine_Master!$B:$B,0)))</f>
        <v>72</v>
      </c>
      <c r="E8" s="36"/>
      <c r="F8" s="36"/>
      <c r="G8" s="36"/>
      <c r="H8" s="36"/>
      <c r="I8" s="36"/>
      <c r="J8" s="36"/>
    </row>
    <row r="9" spans="1:10" ht="19.5" customHeight="1" x14ac:dyDescent="0.25">
      <c r="A9" s="33" t="str">
        <f>IFERROR(INDEX(_Lists!$B:$B,MATCH(B9,_Lists!$A:$A,0)),"")</f>
        <v>POCKETED</v>
      </c>
      <c r="B9" s="34" t="s">
        <v>135</v>
      </c>
      <c r="C9" s="35" t="s">
        <v>168</v>
      </c>
      <c r="D9" s="33">
        <f>IF(C9="Day",INDEX(Machine_Master!$G:$G,MATCH(B9,Machine_Master!$B:$B,0)),INDEX(Machine_Master!$H:$H,MATCH(B9,Machine_Master!$B:$B,0)))</f>
        <v>72</v>
      </c>
      <c r="E9" s="36"/>
      <c r="F9" s="36"/>
      <c r="G9" s="36"/>
      <c r="H9" s="36"/>
      <c r="I9" s="36"/>
      <c r="J9" s="36"/>
    </row>
    <row r="10" spans="1:10" ht="19.5" customHeight="1" x14ac:dyDescent="0.25">
      <c r="A10" s="33" t="str">
        <f>IFERROR(INDEX(_Lists!$B:$B,MATCH(B10,_Lists!$A:$A,0)),"")</f>
        <v>QUILTING</v>
      </c>
      <c r="B10" s="34" t="s">
        <v>141</v>
      </c>
      <c r="C10" s="35" t="s">
        <v>168</v>
      </c>
      <c r="D10" s="33">
        <f>IF(C10="Day",INDEX(Machine_Master!$G:$G,MATCH(B10,Machine_Master!$B:$B,0)),INDEX(Machine_Master!$H:$H,MATCH(B10,Machine_Master!$B:$B,0)))</f>
        <v>750</v>
      </c>
      <c r="E10" s="36"/>
      <c r="F10" s="36"/>
      <c r="G10" s="36"/>
      <c r="H10" s="36"/>
      <c r="I10" s="36"/>
      <c r="J10" s="36"/>
    </row>
    <row r="11" spans="1:10" ht="19.5" customHeight="1" x14ac:dyDescent="0.25">
      <c r="A11" s="33" t="str">
        <f>IFERROR(INDEX(_Lists!$B:$B,MATCH(B11,_Lists!$A:$A,0)),"")</f>
        <v>QUILTING</v>
      </c>
      <c r="B11" s="34" t="s">
        <v>142</v>
      </c>
      <c r="C11" s="35" t="s">
        <v>168</v>
      </c>
      <c r="D11" s="33">
        <f>IF(C11="Day",INDEX(Machine_Master!$G:$G,MATCH(B11,Machine_Master!$B:$B,0)),INDEX(Machine_Master!$H:$H,MATCH(B11,Machine_Master!$B:$B,0)))</f>
        <v>750</v>
      </c>
      <c r="E11" s="36"/>
      <c r="F11" s="36"/>
      <c r="G11" s="36"/>
      <c r="H11" s="36"/>
      <c r="I11" s="36"/>
      <c r="J11" s="36"/>
    </row>
    <row r="12" spans="1:10" ht="19.5" customHeight="1" x14ac:dyDescent="0.25">
      <c r="A12" s="33" t="str">
        <f>IFERROR(INDEX(_Lists!$B:$B,MATCH(B12,_Lists!$A:$A,0)),"")</f>
        <v>QUILTING</v>
      </c>
      <c r="B12" s="34" t="s">
        <v>139</v>
      </c>
      <c r="C12" s="35" t="s">
        <v>168</v>
      </c>
      <c r="D12" s="33">
        <f>IF(C12="Day",INDEX(Machine_Master!$G:$G,MATCH(B12,Machine_Master!$B:$B,0)),INDEX(Machine_Master!$H:$H,MATCH(B12,Machine_Master!$B:$B,0)))</f>
        <v>500</v>
      </c>
      <c r="E12" s="36"/>
      <c r="F12" s="36"/>
      <c r="G12" s="36"/>
      <c r="H12" s="36"/>
      <c r="I12" s="36"/>
      <c r="J12" s="36"/>
    </row>
    <row r="13" spans="1:10" ht="19.5" customHeight="1" x14ac:dyDescent="0.25">
      <c r="A13" s="33" t="str">
        <f>IFERROR(INDEX(_Lists!$B:$B,MATCH(B13,_Lists!$A:$A,0)),"")</f>
        <v>TAPE EDGE</v>
      </c>
      <c r="B13" s="34" t="s">
        <v>144</v>
      </c>
      <c r="C13" s="35" t="s">
        <v>168</v>
      </c>
      <c r="D13" s="33">
        <f>IF(C13="Day",INDEX(Machine_Master!$G:$G,MATCH(B13,Machine_Master!$B:$B,0)),INDEX(Machine_Master!$H:$H,MATCH(B13,Machine_Master!$B:$B,0)))</f>
        <v>75</v>
      </c>
      <c r="E13" s="36"/>
      <c r="F13" s="36"/>
      <c r="G13" s="36"/>
      <c r="H13" s="36"/>
      <c r="I13" s="36"/>
      <c r="J13" s="36"/>
    </row>
    <row r="14" spans="1:10" ht="19.5" customHeight="1" x14ac:dyDescent="0.25">
      <c r="A14" s="33" t="str">
        <f>IFERROR(INDEX(_Lists!$B:$B,MATCH(B14,_Lists!$A:$A,0)),"")</f>
        <v>TAPE EDGE</v>
      </c>
      <c r="B14" s="34" t="s">
        <v>146</v>
      </c>
      <c r="C14" s="35" t="s">
        <v>168</v>
      </c>
      <c r="D14" s="33">
        <f>IF(C14="Day",INDEX(Machine_Master!$G:$G,MATCH(B14,Machine_Master!$B:$B,0)),INDEX(Machine_Master!$H:$H,MATCH(B14,Machine_Master!$B:$B,0)))</f>
        <v>75</v>
      </c>
      <c r="E14" s="36"/>
      <c r="F14" s="36"/>
      <c r="G14" s="36"/>
      <c r="H14" s="36"/>
      <c r="I14" s="36"/>
      <c r="J14" s="36"/>
    </row>
    <row r="15" spans="1:10" ht="19.5" customHeight="1" x14ac:dyDescent="0.25">
      <c r="A15" s="33" t="str">
        <f>IFERROR(INDEX(_Lists!$B:$B,MATCH(B15,_Lists!$A:$A,0)),"")</f>
        <v>TAPE EDGE</v>
      </c>
      <c r="B15" s="34" t="s">
        <v>147</v>
      </c>
      <c r="C15" s="35" t="s">
        <v>168</v>
      </c>
      <c r="D15" s="33">
        <f>IF(C15="Day",INDEX(Machine_Master!$G:$G,MATCH(B15,Machine_Master!$B:$B,0)),INDEX(Machine_Master!$H:$H,MATCH(B15,Machine_Master!$B:$B,0)))</f>
        <v>75</v>
      </c>
      <c r="E15" s="36"/>
      <c r="F15" s="36"/>
      <c r="G15" s="36"/>
      <c r="H15" s="36"/>
      <c r="I15" s="36"/>
      <c r="J15" s="36"/>
    </row>
    <row r="16" spans="1:10" ht="19.5" customHeight="1" x14ac:dyDescent="0.25">
      <c r="A16" s="33" t="str">
        <f>IFERROR(INDEX(_Lists!$B:$B,MATCH(B16,_Lists!$A:$A,0)),"")</f>
        <v>TAPE EDGE</v>
      </c>
      <c r="B16" s="34" t="s">
        <v>148</v>
      </c>
      <c r="C16" s="35" t="s">
        <v>168</v>
      </c>
      <c r="D16" s="33">
        <f>IF(C16="Day",INDEX(Machine_Master!$G:$G,MATCH(B16,Machine_Master!$B:$B,0)),INDEX(Machine_Master!$H:$H,MATCH(B16,Machine_Master!$B:$B,0)))</f>
        <v>75</v>
      </c>
      <c r="E16" s="36"/>
      <c r="F16" s="36"/>
      <c r="G16" s="36"/>
      <c r="H16" s="36"/>
      <c r="I16" s="36"/>
      <c r="J16" s="36"/>
    </row>
    <row r="17" spans="1:10" ht="19.5" customHeight="1" x14ac:dyDescent="0.25">
      <c r="A17" s="33" t="str">
        <f>IFERROR(INDEX(_Lists!$B:$B,MATCH(B17,_Lists!$A:$A,0)),"")</f>
        <v>TAPE EDGE</v>
      </c>
      <c r="B17" s="34" t="s">
        <v>149</v>
      </c>
      <c r="C17" s="35" t="s">
        <v>168</v>
      </c>
      <c r="D17" s="33">
        <f>IF(C17="Day",INDEX(Machine_Master!$G:$G,MATCH(B17,Machine_Master!$B:$B,0)),INDEX(Machine_Master!$H:$H,MATCH(B17,Machine_Master!$B:$B,0)))</f>
        <v>75</v>
      </c>
      <c r="E17" s="36"/>
      <c r="F17" s="36"/>
      <c r="G17" s="36"/>
      <c r="H17" s="36"/>
      <c r="I17" s="36"/>
      <c r="J17" s="36"/>
    </row>
    <row r="18" spans="1:10" ht="19.5" customHeight="1" x14ac:dyDescent="0.25">
      <c r="A18" s="33" t="str">
        <f>IFERROR(INDEX(_Lists!$B:$B,MATCH(B18,_Lists!$A:$A,0)),"")</f>
        <v>TAPE EDGE</v>
      </c>
      <c r="B18" s="34" t="s">
        <v>150</v>
      </c>
      <c r="C18" s="35" t="s">
        <v>168</v>
      </c>
      <c r="D18" s="33">
        <f>IF(C18="Day",INDEX(Machine_Master!$G:$G,MATCH(B18,Machine_Master!$B:$B,0)),INDEX(Machine_Master!$H:$H,MATCH(B18,Machine_Master!$B:$B,0)))</f>
        <v>75</v>
      </c>
      <c r="E18" s="36"/>
      <c r="F18" s="36"/>
      <c r="G18" s="36"/>
      <c r="H18" s="36"/>
      <c r="I18" s="36"/>
      <c r="J18" s="36"/>
    </row>
    <row r="19" spans="1:10" ht="19.5" customHeight="1" x14ac:dyDescent="0.25">
      <c r="A19" s="33" t="str">
        <f>IFERROR(INDEX(_Lists!$B:$B,MATCH(B19,_Lists!$A:$A,0)),"")</f>
        <v>TAPE EDGE</v>
      </c>
      <c r="B19" s="34" t="s">
        <v>151</v>
      </c>
      <c r="C19" s="35" t="s">
        <v>168</v>
      </c>
      <c r="D19" s="33">
        <f>IF(C19="Day",INDEX(Machine_Master!$G:$G,MATCH(B19,Machine_Master!$B:$B,0)),INDEX(Machine_Master!$H:$H,MATCH(B19,Machine_Master!$B:$B,0)))</f>
        <v>75</v>
      </c>
      <c r="E19" s="36"/>
      <c r="F19" s="36"/>
      <c r="G19" s="36"/>
      <c r="H19" s="36"/>
      <c r="I19" s="36"/>
      <c r="J19" s="36"/>
    </row>
    <row r="20" spans="1:10" ht="19.5" customHeight="1" x14ac:dyDescent="0.25">
      <c r="A20" s="33" t="str">
        <f>IFERROR(INDEX(_Lists!$B:$B,MATCH(B20,_Lists!$A:$A,0)),"")</f>
        <v>HYPNOS</v>
      </c>
      <c r="B20" s="34" t="s">
        <v>153</v>
      </c>
      <c r="C20" s="35" t="s">
        <v>168</v>
      </c>
      <c r="D20" s="33">
        <f>IF(C20="Day",INDEX(Machine_Master!$G:$G,MATCH(B20,Machine_Master!$B:$B,0)),INDEX(Machine_Master!$H:$H,MATCH(B20,Machine_Master!$B:$B,0)))</f>
        <v>75</v>
      </c>
      <c r="E20" s="36"/>
      <c r="F20" s="36"/>
      <c r="G20" s="36"/>
      <c r="H20" s="36"/>
      <c r="I20" s="36"/>
      <c r="J20" s="36"/>
    </row>
    <row r="21" spans="1:10" ht="19.5" customHeight="1" x14ac:dyDescent="0.25">
      <c r="A21" s="33" t="str">
        <f>IFERROR(INDEX(_Lists!$B:$B,MATCH(B21,_Lists!$A:$A,0)),"")</f>
        <v>HYPNOS</v>
      </c>
      <c r="B21" s="34" t="s">
        <v>154</v>
      </c>
      <c r="C21" s="35" t="s">
        <v>168</v>
      </c>
      <c r="D21" s="33">
        <f>IF(C21="Day",INDEX(Machine_Master!$G:$G,MATCH(B21,Machine_Master!$B:$B,0)),INDEX(Machine_Master!$H:$H,MATCH(B21,Machine_Master!$B:$B,0)))</f>
        <v>75</v>
      </c>
      <c r="E21" s="36"/>
      <c r="F21" s="36"/>
      <c r="G21" s="36"/>
      <c r="H21" s="36"/>
      <c r="I21" s="36"/>
      <c r="J21" s="36"/>
    </row>
    <row r="22" spans="1:10" ht="18" customHeight="1" x14ac:dyDescent="0.25">
      <c r="A22" s="90" t="s">
        <v>169</v>
      </c>
      <c r="B22" s="90"/>
      <c r="C22" s="90"/>
      <c r="D22" s="90"/>
      <c r="E22" s="90"/>
      <c r="F22" s="90"/>
      <c r="G22" s="90"/>
      <c r="H22" s="90"/>
      <c r="I22" s="90"/>
      <c r="J22" s="90"/>
    </row>
    <row r="23" spans="1:10" ht="19.5" customHeight="1" x14ac:dyDescent="0.25">
      <c r="A23" s="33" t="str">
        <f>IFERROR(INDEX(_Lists!$B:$B,MATCH(B23,_Lists!$A:$A,0)),"")</f>
        <v>BONNELL</v>
      </c>
      <c r="B23" s="34" t="s">
        <v>129</v>
      </c>
      <c r="C23" s="35" t="s">
        <v>170</v>
      </c>
      <c r="D23" s="33">
        <f>IF(C23="Day",INDEX(Machine_Master!$G:$G,MATCH(B23,Machine_Master!$B:$B,0)),INDEX(Machine_Master!$H:$H,MATCH(B23,Machine_Master!$B:$B,0)))</f>
        <v>100</v>
      </c>
      <c r="E23" s="36"/>
      <c r="F23" s="36"/>
      <c r="G23" s="36"/>
      <c r="H23" s="36"/>
      <c r="I23" s="36"/>
      <c r="J23" s="36"/>
    </row>
    <row r="24" spans="1:10" ht="19.5" customHeight="1" x14ac:dyDescent="0.25">
      <c r="A24" s="33" t="str">
        <f>IFERROR(INDEX(_Lists!$B:$B,MATCH(B24,_Lists!$A:$A,0)),"")</f>
        <v>BONNELL</v>
      </c>
      <c r="B24" s="34" t="s">
        <v>131</v>
      </c>
      <c r="C24" s="35" t="s">
        <v>170</v>
      </c>
      <c r="D24" s="33">
        <f>IF(C24="Day",INDEX(Machine_Master!$G:$G,MATCH(B24,Machine_Master!$B:$B,0)),INDEX(Machine_Master!$H:$H,MATCH(B24,Machine_Master!$B:$B,0)))</f>
        <v>100</v>
      </c>
      <c r="E24" s="36"/>
      <c r="F24" s="36"/>
      <c r="G24" s="36"/>
      <c r="H24" s="36"/>
      <c r="I24" s="36"/>
      <c r="J24" s="36"/>
    </row>
    <row r="25" spans="1:10" ht="19.5" customHeight="1" x14ac:dyDescent="0.25">
      <c r="A25" s="33" t="str">
        <f>IFERROR(INDEX(_Lists!$B:$B,MATCH(B25,_Lists!$A:$A,0)),"")</f>
        <v>BONNELL</v>
      </c>
      <c r="B25" s="34" t="s">
        <v>132</v>
      </c>
      <c r="C25" s="35" t="s">
        <v>170</v>
      </c>
      <c r="D25" s="33">
        <f>IF(C25="Day",INDEX(Machine_Master!$G:$G,MATCH(B25,Machine_Master!$B:$B,0)),INDEX(Machine_Master!$H:$H,MATCH(B25,Machine_Master!$B:$B,0)))</f>
        <v>100</v>
      </c>
      <c r="E25" s="36"/>
      <c r="F25" s="36"/>
      <c r="G25" s="36"/>
      <c r="H25" s="36"/>
      <c r="I25" s="36"/>
      <c r="J25" s="36"/>
    </row>
    <row r="26" spans="1:10" ht="19.5" customHeight="1" x14ac:dyDescent="0.25">
      <c r="A26" s="33" t="str">
        <f>IFERROR(INDEX(_Lists!$B:$B,MATCH(B26,_Lists!$A:$A,0)),"")</f>
        <v>BONNELL</v>
      </c>
      <c r="B26" s="34" t="s">
        <v>133</v>
      </c>
      <c r="C26" s="35" t="s">
        <v>170</v>
      </c>
      <c r="D26" s="33">
        <f>IF(C26="Day",INDEX(Machine_Master!$G:$G,MATCH(B26,Machine_Master!$B:$B,0)),INDEX(Machine_Master!$H:$H,MATCH(B26,Machine_Master!$B:$B,0)))</f>
        <v>100</v>
      </c>
      <c r="E26" s="36"/>
      <c r="F26" s="36"/>
      <c r="G26" s="36"/>
      <c r="H26" s="36"/>
      <c r="I26" s="36"/>
      <c r="J26" s="36"/>
    </row>
    <row r="27" spans="1:10" ht="19.5" customHeight="1" x14ac:dyDescent="0.25">
      <c r="A27" s="33" t="str">
        <f>IFERROR(INDEX(_Lists!$B:$B,MATCH(B27,_Lists!$A:$A,0)),"")</f>
        <v>POCKETED</v>
      </c>
      <c r="B27" s="34" t="s">
        <v>136</v>
      </c>
      <c r="C27" s="35" t="s">
        <v>170</v>
      </c>
      <c r="D27" s="33">
        <f>IF(C27="Day",INDEX(Machine_Master!$G:$G,MATCH(B27,Machine_Master!$B:$B,0)),INDEX(Machine_Master!$H:$H,MATCH(B27,Machine_Master!$B:$B,0)))</f>
        <v>108</v>
      </c>
      <c r="E27" s="36"/>
      <c r="F27" s="36"/>
      <c r="G27" s="36"/>
      <c r="H27" s="36"/>
      <c r="I27" s="36"/>
      <c r="J27" s="36"/>
    </row>
    <row r="28" spans="1:10" ht="19.5" customHeight="1" x14ac:dyDescent="0.25">
      <c r="A28" s="33" t="str">
        <f>IFERROR(INDEX(_Lists!$B:$B,MATCH(B28,_Lists!$A:$A,0)),"")</f>
        <v>POCKETED</v>
      </c>
      <c r="B28" s="34" t="s">
        <v>137</v>
      </c>
      <c r="C28" s="35" t="s">
        <v>170</v>
      </c>
      <c r="D28" s="33">
        <f>IF(C28="Day",INDEX(Machine_Master!$G:$G,MATCH(B28,Machine_Master!$B:$B,0)),INDEX(Machine_Master!$H:$H,MATCH(B28,Machine_Master!$B:$B,0)))</f>
        <v>72</v>
      </c>
      <c r="E28" s="36"/>
      <c r="F28" s="36"/>
      <c r="G28" s="36"/>
      <c r="H28" s="36"/>
      <c r="I28" s="36"/>
      <c r="J28" s="36"/>
    </row>
    <row r="29" spans="1:10" ht="19.5" customHeight="1" x14ac:dyDescent="0.25">
      <c r="A29" s="33" t="str">
        <f>IFERROR(INDEX(_Lists!$B:$B,MATCH(B29,_Lists!$A:$A,0)),"")</f>
        <v>POCKETED</v>
      </c>
      <c r="B29" s="34" t="s">
        <v>135</v>
      </c>
      <c r="C29" s="35" t="s">
        <v>170</v>
      </c>
      <c r="D29" s="33">
        <f>IF(C29="Day",INDEX(Machine_Master!$G:$G,MATCH(B29,Machine_Master!$B:$B,0)),INDEX(Machine_Master!$H:$H,MATCH(B29,Machine_Master!$B:$B,0)))</f>
        <v>72</v>
      </c>
      <c r="E29" s="36"/>
      <c r="F29" s="36"/>
      <c r="G29" s="36"/>
      <c r="H29" s="36"/>
      <c r="I29" s="36"/>
      <c r="J29" s="36"/>
    </row>
    <row r="30" spans="1:10" ht="19.5" customHeight="1" x14ac:dyDescent="0.25">
      <c r="A30" s="33" t="str">
        <f>IFERROR(INDEX(_Lists!$B:$B,MATCH(B30,_Lists!$A:$A,0)),"")</f>
        <v>QUILTING</v>
      </c>
      <c r="B30" s="34" t="s">
        <v>141</v>
      </c>
      <c r="C30" s="35" t="s">
        <v>170</v>
      </c>
      <c r="D30" s="33">
        <f>IF(C30="Day",INDEX(Machine_Master!$G:$G,MATCH(B30,Machine_Master!$B:$B,0)),INDEX(Machine_Master!$H:$H,MATCH(B30,Machine_Master!$B:$B,0)))</f>
        <v>750</v>
      </c>
      <c r="E30" s="36"/>
      <c r="F30" s="36"/>
      <c r="G30" s="36"/>
      <c r="H30" s="36"/>
      <c r="I30" s="36"/>
      <c r="J30" s="36"/>
    </row>
    <row r="31" spans="1:10" ht="19.5" customHeight="1" x14ac:dyDescent="0.25">
      <c r="A31" s="33" t="str">
        <f>IFERROR(INDEX(_Lists!$B:$B,MATCH(B31,_Lists!$A:$A,0)),"")</f>
        <v>QUILTING</v>
      </c>
      <c r="B31" s="34" t="s">
        <v>142</v>
      </c>
      <c r="C31" s="35" t="s">
        <v>170</v>
      </c>
      <c r="D31" s="33">
        <f>IF(C31="Day",INDEX(Machine_Master!$G:$G,MATCH(B31,Machine_Master!$B:$B,0)),INDEX(Machine_Master!$H:$H,MATCH(B31,Machine_Master!$B:$B,0)))</f>
        <v>750</v>
      </c>
      <c r="E31" s="36"/>
      <c r="F31" s="36"/>
      <c r="G31" s="36"/>
      <c r="H31" s="36"/>
      <c r="I31" s="36"/>
      <c r="J31" s="36"/>
    </row>
    <row r="32" spans="1:10" ht="19.5" customHeight="1" x14ac:dyDescent="0.25">
      <c r="A32" s="33" t="str">
        <f>IFERROR(INDEX(_Lists!$B:$B,MATCH(B32,_Lists!$A:$A,0)),"")</f>
        <v>QUILTING</v>
      </c>
      <c r="B32" s="34" t="s">
        <v>139</v>
      </c>
      <c r="C32" s="35" t="s">
        <v>170</v>
      </c>
      <c r="D32" s="33">
        <f>IF(C32="Day",INDEX(Machine_Master!$G:$G,MATCH(B32,Machine_Master!$B:$B,0)),INDEX(Machine_Master!$H:$H,MATCH(B32,Machine_Master!$B:$B,0)))</f>
        <v>500</v>
      </c>
      <c r="E32" s="36"/>
      <c r="F32" s="36"/>
      <c r="G32" s="36"/>
      <c r="H32" s="36"/>
      <c r="I32" s="36"/>
      <c r="J32" s="36"/>
    </row>
    <row r="33" spans="1:10" ht="19.5" customHeight="1" x14ac:dyDescent="0.25">
      <c r="A33" s="33" t="str">
        <f>IFERROR(INDEX(_Lists!$B:$B,MATCH(B33,_Lists!$A:$A,0)),"")</f>
        <v>TAPE EDGE</v>
      </c>
      <c r="B33" s="34" t="s">
        <v>144</v>
      </c>
      <c r="C33" s="35" t="s">
        <v>170</v>
      </c>
      <c r="D33" s="33">
        <f>IF(C33="Day",INDEX(Machine_Master!$G:$G,MATCH(B33,Machine_Master!$B:$B,0)),INDEX(Machine_Master!$H:$H,MATCH(B33,Machine_Master!$B:$B,0)))</f>
        <v>75</v>
      </c>
      <c r="E33" s="36"/>
      <c r="F33" s="36"/>
      <c r="G33" s="36"/>
      <c r="H33" s="36"/>
      <c r="I33" s="36"/>
      <c r="J33" s="36"/>
    </row>
    <row r="34" spans="1:10" ht="19.5" customHeight="1" x14ac:dyDescent="0.25">
      <c r="A34" s="33" t="str">
        <f>IFERROR(INDEX(_Lists!$B:$B,MATCH(B34,_Lists!$A:$A,0)),"")</f>
        <v>TAPE EDGE</v>
      </c>
      <c r="B34" s="34" t="s">
        <v>146</v>
      </c>
      <c r="C34" s="35" t="s">
        <v>170</v>
      </c>
      <c r="D34" s="33">
        <f>IF(C34="Day",INDEX(Machine_Master!$G:$G,MATCH(B34,Machine_Master!$B:$B,0)),INDEX(Machine_Master!$H:$H,MATCH(B34,Machine_Master!$B:$B,0)))</f>
        <v>75</v>
      </c>
      <c r="E34" s="36"/>
      <c r="F34" s="36"/>
      <c r="G34" s="36"/>
      <c r="H34" s="36"/>
      <c r="I34" s="36"/>
      <c r="J34" s="36"/>
    </row>
    <row r="35" spans="1:10" ht="19.5" customHeight="1" x14ac:dyDescent="0.25">
      <c r="A35" s="33" t="str">
        <f>IFERROR(INDEX(_Lists!$B:$B,MATCH(B35,_Lists!$A:$A,0)),"")</f>
        <v>TAPE EDGE</v>
      </c>
      <c r="B35" s="34" t="s">
        <v>147</v>
      </c>
      <c r="C35" s="35" t="s">
        <v>170</v>
      </c>
      <c r="D35" s="33">
        <f>IF(C35="Day",INDEX(Machine_Master!$G:$G,MATCH(B35,Machine_Master!$B:$B,0)),INDEX(Machine_Master!$H:$H,MATCH(B35,Machine_Master!$B:$B,0)))</f>
        <v>75</v>
      </c>
      <c r="E35" s="36"/>
      <c r="F35" s="36"/>
      <c r="G35" s="36"/>
      <c r="H35" s="36"/>
      <c r="I35" s="36"/>
      <c r="J35" s="36"/>
    </row>
    <row r="36" spans="1:10" ht="19.5" customHeight="1" x14ac:dyDescent="0.25">
      <c r="A36" s="33" t="str">
        <f>IFERROR(INDEX(_Lists!$B:$B,MATCH(B36,_Lists!$A:$A,0)),"")</f>
        <v>TAPE EDGE</v>
      </c>
      <c r="B36" s="34" t="s">
        <v>148</v>
      </c>
      <c r="C36" s="35" t="s">
        <v>170</v>
      </c>
      <c r="D36" s="33">
        <f>IF(C36="Day",INDEX(Machine_Master!$G:$G,MATCH(B36,Machine_Master!$B:$B,0)),INDEX(Machine_Master!$H:$H,MATCH(B36,Machine_Master!$B:$B,0)))</f>
        <v>75</v>
      </c>
      <c r="E36" s="36"/>
      <c r="F36" s="36"/>
      <c r="G36" s="36"/>
      <c r="H36" s="36"/>
      <c r="I36" s="36"/>
      <c r="J36" s="36"/>
    </row>
    <row r="37" spans="1:10" ht="19.5" customHeight="1" x14ac:dyDescent="0.25">
      <c r="A37" s="33" t="str">
        <f>IFERROR(INDEX(_Lists!$B:$B,MATCH(B37,_Lists!$A:$A,0)),"")</f>
        <v>TAPE EDGE</v>
      </c>
      <c r="B37" s="34" t="s">
        <v>149</v>
      </c>
      <c r="C37" s="35" t="s">
        <v>170</v>
      </c>
      <c r="D37" s="33">
        <f>IF(C37="Day",INDEX(Machine_Master!$G:$G,MATCH(B37,Machine_Master!$B:$B,0)),INDEX(Machine_Master!$H:$H,MATCH(B37,Machine_Master!$B:$B,0)))</f>
        <v>75</v>
      </c>
      <c r="E37" s="36"/>
      <c r="F37" s="36"/>
      <c r="G37" s="36"/>
      <c r="H37" s="36"/>
      <c r="I37" s="36"/>
      <c r="J37" s="36"/>
    </row>
    <row r="38" spans="1:10" ht="19.5" customHeight="1" x14ac:dyDescent="0.25">
      <c r="A38" s="33" t="str">
        <f>IFERROR(INDEX(_Lists!$B:$B,MATCH(B38,_Lists!$A:$A,0)),"")</f>
        <v>TAPE EDGE</v>
      </c>
      <c r="B38" s="34" t="s">
        <v>150</v>
      </c>
      <c r="C38" s="35" t="s">
        <v>170</v>
      </c>
      <c r="D38" s="33">
        <f>IF(C38="Day",INDEX(Machine_Master!$G:$G,MATCH(B38,Machine_Master!$B:$B,0)),INDEX(Machine_Master!$H:$H,MATCH(B38,Machine_Master!$B:$B,0)))</f>
        <v>75</v>
      </c>
      <c r="E38" s="36"/>
      <c r="F38" s="36"/>
      <c r="G38" s="36"/>
      <c r="H38" s="36"/>
      <c r="I38" s="36"/>
      <c r="J38" s="36"/>
    </row>
    <row r="39" spans="1:10" ht="19.5" customHeight="1" x14ac:dyDescent="0.25">
      <c r="A39" s="33" t="str">
        <f>IFERROR(INDEX(_Lists!$B:$B,MATCH(B39,_Lists!$A:$A,0)),"")</f>
        <v>TAPE EDGE</v>
      </c>
      <c r="B39" s="34" t="s">
        <v>151</v>
      </c>
      <c r="C39" s="35" t="s">
        <v>170</v>
      </c>
      <c r="D39" s="33">
        <f>IF(C39="Day",INDEX(Machine_Master!$G:$G,MATCH(B39,Machine_Master!$B:$B,0)),INDEX(Machine_Master!$H:$H,MATCH(B39,Machine_Master!$B:$B,0)))</f>
        <v>75</v>
      </c>
      <c r="E39" s="36"/>
      <c r="F39" s="36"/>
      <c r="G39" s="36"/>
      <c r="H39" s="36"/>
      <c r="I39" s="36"/>
      <c r="J39" s="36"/>
    </row>
    <row r="40" spans="1:10" ht="19.5" customHeight="1" x14ac:dyDescent="0.25">
      <c r="A40" s="33" t="str">
        <f>IFERROR(INDEX(_Lists!$B:$B,MATCH(B40,_Lists!$A:$A,0)),"")</f>
        <v>HYPNOS</v>
      </c>
      <c r="B40" s="34" t="s">
        <v>153</v>
      </c>
      <c r="C40" s="35" t="s">
        <v>170</v>
      </c>
      <c r="D40" s="33">
        <f>IF(C40="Day",INDEX(Machine_Master!$G:$G,MATCH(B40,Machine_Master!$B:$B,0)),INDEX(Machine_Master!$H:$H,MATCH(B40,Machine_Master!$B:$B,0)))</f>
        <v>75</v>
      </c>
      <c r="E40" s="36"/>
      <c r="F40" s="36"/>
      <c r="G40" s="36"/>
      <c r="H40" s="36"/>
      <c r="I40" s="36"/>
      <c r="J40" s="36"/>
    </row>
    <row r="41" spans="1:10" ht="19.5" customHeight="1" x14ac:dyDescent="0.25">
      <c r="A41" s="33" t="str">
        <f>IFERROR(INDEX(_Lists!$B:$B,MATCH(B41,_Lists!$A:$A,0)),"")</f>
        <v>HYPNOS</v>
      </c>
      <c r="B41" s="34" t="s">
        <v>154</v>
      </c>
      <c r="C41" s="35" t="s">
        <v>170</v>
      </c>
      <c r="D41" s="33">
        <f>IF(C41="Day",INDEX(Machine_Master!$G:$G,MATCH(B41,Machine_Master!$B:$B,0)),INDEX(Machine_Master!$H:$H,MATCH(B41,Machine_Master!$B:$B,0)))</f>
        <v>75</v>
      </c>
      <c r="E41" s="36"/>
      <c r="F41" s="36"/>
      <c r="G41" s="36"/>
      <c r="H41" s="36"/>
      <c r="I41" s="36"/>
      <c r="J41" s="36"/>
    </row>
    <row r="42" spans="1:10" ht="19.5" customHeight="1" x14ac:dyDescent="0.25"/>
    <row r="43" spans="1:10" ht="15" customHeight="1" x14ac:dyDescent="0.25"/>
    <row r="44" spans="1:10" ht="15" customHeight="1" x14ac:dyDescent="0.25"/>
    <row r="45" spans="1:10" ht="15" customHeight="1" x14ac:dyDescent="0.25"/>
  </sheetData>
  <mergeCells count="3">
    <mergeCell ref="A1:D1"/>
    <mergeCell ref="F1:J1"/>
    <mergeCell ref="A22:J22"/>
  </mergeCells>
  <dataValidations count="5">
    <dataValidation type="date" showErrorMessage="1" errorTitle="Invalid Date" error="Enter date between 01/01/2025 and 31/12/2027" sqref="E1" xr:uid="{00000000-0002-0000-0200-000000000000}">
      <formula1>DATE(2025,1,1)</formula1>
      <formula2>DATE(2027,12,31)</formula2>
    </dataValidation>
    <dataValidation type="decimal" operator="greaterThanOrEqual" showErrorMessage="1" errorTitle="Invalid" error="Must be ≥ 0" sqref="E3:E200" xr:uid="{00000000-0002-0000-0200-000001000000}">
      <formula1>0</formula1>
      <formula2>0</formula2>
    </dataValidation>
    <dataValidation type="decimal" showErrorMessage="1" errorTitle="Invalid" error="Hours must be 0–8" sqref="F3:H200" xr:uid="{00000000-0002-0000-0200-000002000000}">
      <formula1>0</formula1>
      <formula2>8</formula2>
    </dataValidation>
    <dataValidation type="decimal" operator="greaterThanOrEqual" showErrorMessage="1" errorTitle="Invalid" error="Reject qty ≥ 0" sqref="I3:I200" xr:uid="{00000000-0002-0000-0200-000003000000}">
      <formula1>0</formula1>
      <formula2>0</formula2>
    </dataValidation>
    <dataValidation type="list" sqref="J3:J200" xr:uid="{00000000-0002-0000-0200-000004000000}">
      <formula1>"Breakdown,Setup/Changeover,No Manpower,No Material,Micro stoppage,Speed loss,Quality defect,Planned maintenance,Other"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5"/>
  <sheetViews>
    <sheetView zoomScaleNormal="100" workbookViewId="0">
      <pane ySplit="3" topLeftCell="A4" activePane="bottomLeft" state="frozen"/>
      <selection pane="bottomLeft" sqref="A1:J1"/>
    </sheetView>
  </sheetViews>
  <sheetFormatPr defaultColWidth="8.7109375" defaultRowHeight="15" x14ac:dyDescent="0.25"/>
  <cols>
    <col min="1" max="2" width="18" customWidth="1"/>
    <col min="3" max="8" width="9" customWidth="1"/>
    <col min="9" max="9" width="7" customWidth="1"/>
    <col min="10" max="10" width="22" customWidth="1"/>
  </cols>
  <sheetData>
    <row r="1" spans="1:10" ht="37.5" customHeight="1" x14ac:dyDescent="0.25">
      <c r="A1" s="86" t="str">
        <f>("MACHINE WISE PRODUCTION DETAILS — DATE: "&amp;TEXT(Simple_Input!$E$1,"DD-MM-YYYY"))</f>
        <v>MACHINE WISE PRODUCTION DETAILS — DATE: 01-04-2025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21.75" customHeight="1" x14ac:dyDescent="0.25">
      <c r="A2" s="37"/>
      <c r="B2" s="37"/>
      <c r="C2" s="93" t="s">
        <v>171</v>
      </c>
      <c r="D2" s="93"/>
      <c r="E2" s="93" t="s">
        <v>172</v>
      </c>
      <c r="F2" s="93"/>
      <c r="G2" s="93" t="s">
        <v>173</v>
      </c>
      <c r="H2" s="93"/>
      <c r="I2" s="37"/>
      <c r="J2" s="37"/>
    </row>
    <row r="3" spans="1:10" ht="31.5" customHeight="1" x14ac:dyDescent="0.25">
      <c r="A3" s="32" t="s">
        <v>158</v>
      </c>
      <c r="B3" s="32" t="s">
        <v>174</v>
      </c>
      <c r="C3" s="32" t="s">
        <v>161</v>
      </c>
      <c r="D3" s="32" t="s">
        <v>162</v>
      </c>
      <c r="E3" s="32" t="s">
        <v>161</v>
      </c>
      <c r="F3" s="32" t="s">
        <v>162</v>
      </c>
      <c r="G3" s="32" t="s">
        <v>161</v>
      </c>
      <c r="H3" s="32" t="s">
        <v>162</v>
      </c>
      <c r="I3" s="32" t="s">
        <v>175</v>
      </c>
      <c r="J3" s="32" t="s">
        <v>176</v>
      </c>
    </row>
    <row r="4" spans="1:10" ht="21.75" customHeight="1" x14ac:dyDescent="0.25">
      <c r="A4" s="11" t="s">
        <v>128</v>
      </c>
      <c r="B4" s="11" t="s">
        <v>129</v>
      </c>
      <c r="C4" s="38">
        <f>SUMIFS(Simple_Input!$D:$D,Simple_Input!$B:$B,B4,Simple_Input!$C:$C,"Day")</f>
        <v>100</v>
      </c>
      <c r="D4" s="38">
        <f>SUMIFS(Simple_Input!$E:$E,Simple_Input!$B:$B,B4,Simple_Input!$C:$C,"Day")</f>
        <v>0</v>
      </c>
      <c r="E4" s="38">
        <f>SUMIFS(Simple_Input!$D:$D,Simple_Input!$B:$B,B4,Simple_Input!$C:$C,"Night")</f>
        <v>100</v>
      </c>
      <c r="F4" s="38">
        <f>SUMIFS(Simple_Input!$E:$E,Simple_Input!$B:$B,B4,Simple_Input!$C:$C,"Night")</f>
        <v>0</v>
      </c>
      <c r="G4" s="38">
        <f t="shared" ref="G4:H7" si="0">C4+E4</f>
        <v>200</v>
      </c>
      <c r="H4" s="38">
        <f t="shared" si="0"/>
        <v>0</v>
      </c>
      <c r="I4" s="39">
        <f t="shared" ref="I4:I28" si="1">IFERROR(H4/G4,0)</f>
        <v>0</v>
      </c>
      <c r="J4" s="11" t="str">
        <f>IF(SUMPRODUCT((Simple_Input!$B$3:$B$21=B4)*(Simple_Input!$C$3:$C$21="Day")*ROW(Simple_Input!$B$3:$B$21))&gt;0,IF(INDEX(Simple_Input!$J:$J,SUMPRODUCT((Simple_Input!$B$3:$B$21=B4)*(Simple_Input!$C$3:$C$21="Day")*ROW(Simple_Input!$B$3:$B$21)))&lt;&gt;0,INDEX(Simple_Input!$J:$J,SUMPRODUCT((Simple_Input!$B$3:$B$21=B4)*(Simple_Input!$C$3:$C$21="Day")*ROW(Simple_Input!$B$3:$B$21))),IF(SUMPRODUCT((Simple_Input!$B$23:$B$41=B4)*(Simple_Input!$C$23:$C$41="Night")*ROW(Simple_Input!$B$23:$B$41))&gt;0,IF(INDEX(Simple_Input!$J:$J,SUMPRODUCT((Simple_Input!$B$23:$B$41=B4)*(Simple_Input!$C$23:$C$41="Night")*ROW(Simple_Input!$B$23:$B$41)))&lt;&gt;0,INDEX(Simple_Input!$J:$J,SUMPRODUCT((Simple_Input!$B$23:$B$41=B4)*(Simple_Input!$C$23:$C$41="Night")*ROW(Simple_Input!$B$23:$B$41))),""),"")),IF(SUMPRODUCT((Simple_Input!$B$23:$B$41=B4)*(Simple_Input!$C$23:$C$41="Night")*ROW(Simple_Input!$B$23:$B$41))&gt;0,IF(INDEX(Simple_Input!$J:$J,SUMPRODUCT((Simple_Input!$B$23:$B$41=B4)*(Simple_Input!$C$23:$C$41="Night")*ROW(Simple_Input!$B$23:$B$41)))&lt;&gt;0,INDEX(Simple_Input!$J:$J,SUMPRODUCT((Simple_Input!$B$23:$B$41=B4)*(Simple_Input!$C$23:$C$41="Night")*ROW(Simple_Input!$B$23:$B$41))),""),""))</f>
        <v/>
      </c>
    </row>
    <row r="5" spans="1:10" ht="21.75" customHeight="1" x14ac:dyDescent="0.25">
      <c r="A5" s="11" t="s">
        <v>128</v>
      </c>
      <c r="B5" s="11" t="s">
        <v>131</v>
      </c>
      <c r="C5" s="38">
        <f>SUMIFS(Simple_Input!$D:$D,Simple_Input!$B:$B,B5,Simple_Input!$C:$C,"Day")</f>
        <v>100</v>
      </c>
      <c r="D5" s="38">
        <f>SUMIFS(Simple_Input!$E:$E,Simple_Input!$B:$B,B5,Simple_Input!$C:$C,"Day")</f>
        <v>0</v>
      </c>
      <c r="E5" s="38">
        <f>SUMIFS(Simple_Input!$D:$D,Simple_Input!$B:$B,B5,Simple_Input!$C:$C,"Night")</f>
        <v>100</v>
      </c>
      <c r="F5" s="38">
        <f>SUMIFS(Simple_Input!$E:$E,Simple_Input!$B:$B,B5,Simple_Input!$C:$C,"Night")</f>
        <v>0</v>
      </c>
      <c r="G5" s="38">
        <f t="shared" si="0"/>
        <v>200</v>
      </c>
      <c r="H5" s="38">
        <f t="shared" si="0"/>
        <v>0</v>
      </c>
      <c r="I5" s="39">
        <f t="shared" si="1"/>
        <v>0</v>
      </c>
      <c r="J5" s="11" t="str">
        <f>IF(SUMPRODUCT((Simple_Input!$B$3:$B$21=B5)*(Simple_Input!$C$3:$C$21="Day")*ROW(Simple_Input!$B$3:$B$21))&gt;0,IF(INDEX(Simple_Input!$J:$J,SUMPRODUCT((Simple_Input!$B$3:$B$21=B5)*(Simple_Input!$C$3:$C$21="Day")*ROW(Simple_Input!$B$3:$B$21)))&lt;&gt;0,INDEX(Simple_Input!$J:$J,SUMPRODUCT((Simple_Input!$B$3:$B$21=B5)*(Simple_Input!$C$3:$C$21="Day")*ROW(Simple_Input!$B$3:$B$21))),IF(SUMPRODUCT((Simple_Input!$B$23:$B$41=B5)*(Simple_Input!$C$23:$C$41="Night")*ROW(Simple_Input!$B$23:$B$41))&gt;0,IF(INDEX(Simple_Input!$J:$J,SUMPRODUCT((Simple_Input!$B$23:$B$41=B5)*(Simple_Input!$C$23:$C$41="Night")*ROW(Simple_Input!$B$23:$B$41)))&lt;&gt;0,INDEX(Simple_Input!$J:$J,SUMPRODUCT((Simple_Input!$B$23:$B$41=B5)*(Simple_Input!$C$23:$C$41="Night")*ROW(Simple_Input!$B$23:$B$41))),""),"")),IF(SUMPRODUCT((Simple_Input!$B$23:$B$41=B5)*(Simple_Input!$C$23:$C$41="Night")*ROW(Simple_Input!$B$23:$B$41))&gt;0,IF(INDEX(Simple_Input!$J:$J,SUMPRODUCT((Simple_Input!$B$23:$B$41=B5)*(Simple_Input!$C$23:$C$41="Night")*ROW(Simple_Input!$B$23:$B$41)))&lt;&gt;0,INDEX(Simple_Input!$J:$J,SUMPRODUCT((Simple_Input!$B$23:$B$41=B5)*(Simple_Input!$C$23:$C$41="Night")*ROW(Simple_Input!$B$23:$B$41))),""),""))</f>
        <v/>
      </c>
    </row>
    <row r="6" spans="1:10" ht="21.75" customHeight="1" x14ac:dyDescent="0.25">
      <c r="A6" s="11" t="s">
        <v>128</v>
      </c>
      <c r="B6" s="11" t="s">
        <v>132</v>
      </c>
      <c r="C6" s="38">
        <f>SUMIFS(Simple_Input!$D:$D,Simple_Input!$B:$B,B6,Simple_Input!$C:$C,"Day")</f>
        <v>100</v>
      </c>
      <c r="D6" s="38">
        <f>SUMIFS(Simple_Input!$E:$E,Simple_Input!$B:$B,B6,Simple_Input!$C:$C,"Day")</f>
        <v>0</v>
      </c>
      <c r="E6" s="38">
        <f>SUMIFS(Simple_Input!$D:$D,Simple_Input!$B:$B,B6,Simple_Input!$C:$C,"Night")</f>
        <v>100</v>
      </c>
      <c r="F6" s="38">
        <f>SUMIFS(Simple_Input!$E:$E,Simple_Input!$B:$B,B6,Simple_Input!$C:$C,"Night")</f>
        <v>0</v>
      </c>
      <c r="G6" s="38">
        <f t="shared" si="0"/>
        <v>200</v>
      </c>
      <c r="H6" s="38">
        <f t="shared" si="0"/>
        <v>0</v>
      </c>
      <c r="I6" s="39">
        <f t="shared" si="1"/>
        <v>0</v>
      </c>
      <c r="J6" s="11" t="str">
        <f>IF(SUMPRODUCT((Simple_Input!$B$3:$B$21=B6)*(Simple_Input!$C$3:$C$21="Day")*ROW(Simple_Input!$B$3:$B$21))&gt;0,IF(INDEX(Simple_Input!$J:$J,SUMPRODUCT((Simple_Input!$B$3:$B$21=B6)*(Simple_Input!$C$3:$C$21="Day")*ROW(Simple_Input!$B$3:$B$21)))&lt;&gt;0,INDEX(Simple_Input!$J:$J,SUMPRODUCT((Simple_Input!$B$3:$B$21=B6)*(Simple_Input!$C$3:$C$21="Day")*ROW(Simple_Input!$B$3:$B$21))),IF(SUMPRODUCT((Simple_Input!$B$23:$B$41=B6)*(Simple_Input!$C$23:$C$41="Night")*ROW(Simple_Input!$B$23:$B$41))&gt;0,IF(INDEX(Simple_Input!$J:$J,SUMPRODUCT((Simple_Input!$B$23:$B$41=B6)*(Simple_Input!$C$23:$C$41="Night")*ROW(Simple_Input!$B$23:$B$41)))&lt;&gt;0,INDEX(Simple_Input!$J:$J,SUMPRODUCT((Simple_Input!$B$23:$B$41=B6)*(Simple_Input!$C$23:$C$41="Night")*ROW(Simple_Input!$B$23:$B$41))),""),"")),IF(SUMPRODUCT((Simple_Input!$B$23:$B$41=B6)*(Simple_Input!$C$23:$C$41="Night")*ROW(Simple_Input!$B$23:$B$41))&gt;0,IF(INDEX(Simple_Input!$J:$J,SUMPRODUCT((Simple_Input!$B$23:$B$41=B6)*(Simple_Input!$C$23:$C$41="Night")*ROW(Simple_Input!$B$23:$B$41)))&lt;&gt;0,INDEX(Simple_Input!$J:$J,SUMPRODUCT((Simple_Input!$B$23:$B$41=B6)*(Simple_Input!$C$23:$C$41="Night")*ROW(Simple_Input!$B$23:$B$41))),""),""))</f>
        <v/>
      </c>
    </row>
    <row r="7" spans="1:10" ht="21.75" customHeight="1" x14ac:dyDescent="0.25">
      <c r="A7" s="11" t="s">
        <v>128</v>
      </c>
      <c r="B7" s="11" t="s">
        <v>133</v>
      </c>
      <c r="C7" s="38">
        <f>SUMIFS(Simple_Input!$D:$D,Simple_Input!$B:$B,B7,Simple_Input!$C:$C,"Day")</f>
        <v>100</v>
      </c>
      <c r="D7" s="38">
        <f>SUMIFS(Simple_Input!$E:$E,Simple_Input!$B:$B,B7,Simple_Input!$C:$C,"Day")</f>
        <v>0</v>
      </c>
      <c r="E7" s="38">
        <f>SUMIFS(Simple_Input!$D:$D,Simple_Input!$B:$B,B7,Simple_Input!$C:$C,"Night")</f>
        <v>100</v>
      </c>
      <c r="F7" s="38">
        <f>SUMIFS(Simple_Input!$E:$E,Simple_Input!$B:$B,B7,Simple_Input!$C:$C,"Night")</f>
        <v>0</v>
      </c>
      <c r="G7" s="38">
        <f t="shared" si="0"/>
        <v>200</v>
      </c>
      <c r="H7" s="38">
        <f t="shared" si="0"/>
        <v>0</v>
      </c>
      <c r="I7" s="39">
        <f t="shared" si="1"/>
        <v>0</v>
      </c>
      <c r="J7" s="11" t="str">
        <f>IF(SUMPRODUCT((Simple_Input!$B$3:$B$21=B7)*(Simple_Input!$C$3:$C$21="Day")*ROW(Simple_Input!$B$3:$B$21))&gt;0,IF(INDEX(Simple_Input!$J:$J,SUMPRODUCT((Simple_Input!$B$3:$B$21=B7)*(Simple_Input!$C$3:$C$21="Day")*ROW(Simple_Input!$B$3:$B$21)))&lt;&gt;0,INDEX(Simple_Input!$J:$J,SUMPRODUCT((Simple_Input!$B$3:$B$21=B7)*(Simple_Input!$C$3:$C$21="Day")*ROW(Simple_Input!$B$3:$B$21))),IF(SUMPRODUCT((Simple_Input!$B$23:$B$41=B7)*(Simple_Input!$C$23:$C$41="Night")*ROW(Simple_Input!$B$23:$B$41))&gt;0,IF(INDEX(Simple_Input!$J:$J,SUMPRODUCT((Simple_Input!$B$23:$B$41=B7)*(Simple_Input!$C$23:$C$41="Night")*ROW(Simple_Input!$B$23:$B$41)))&lt;&gt;0,INDEX(Simple_Input!$J:$J,SUMPRODUCT((Simple_Input!$B$23:$B$41=B7)*(Simple_Input!$C$23:$C$41="Night")*ROW(Simple_Input!$B$23:$B$41))),""),"")),IF(SUMPRODUCT((Simple_Input!$B$23:$B$41=B7)*(Simple_Input!$C$23:$C$41="Night")*ROW(Simple_Input!$B$23:$B$41))&gt;0,IF(INDEX(Simple_Input!$J:$J,SUMPRODUCT((Simple_Input!$B$23:$B$41=B7)*(Simple_Input!$C$23:$C$41="Night")*ROW(Simple_Input!$B$23:$B$41)))&lt;&gt;0,INDEX(Simple_Input!$J:$J,SUMPRODUCT((Simple_Input!$B$23:$B$41=B7)*(Simple_Input!$C$23:$C$41="Night")*ROW(Simple_Input!$B$23:$B$41))),""),""))</f>
        <v/>
      </c>
    </row>
    <row r="8" spans="1:10" ht="21.75" customHeight="1" x14ac:dyDescent="0.25">
      <c r="A8" s="40" t="s">
        <v>177</v>
      </c>
      <c r="B8" s="41" t="s">
        <v>128</v>
      </c>
      <c r="C8" s="42">
        <f t="shared" ref="C8:H8" si="2">SUM(C4:C7)</f>
        <v>400</v>
      </c>
      <c r="D8" s="42">
        <f t="shared" si="2"/>
        <v>0</v>
      </c>
      <c r="E8" s="42">
        <f t="shared" si="2"/>
        <v>400</v>
      </c>
      <c r="F8" s="42">
        <f t="shared" si="2"/>
        <v>0</v>
      </c>
      <c r="G8" s="42">
        <f t="shared" si="2"/>
        <v>800</v>
      </c>
      <c r="H8" s="42">
        <f t="shared" si="2"/>
        <v>0</v>
      </c>
      <c r="I8" s="43">
        <f t="shared" si="1"/>
        <v>0</v>
      </c>
      <c r="J8" s="41"/>
    </row>
    <row r="9" spans="1:10" ht="21.75" customHeight="1" x14ac:dyDescent="0.25">
      <c r="A9" s="11" t="s">
        <v>134</v>
      </c>
      <c r="B9" s="11" t="s">
        <v>136</v>
      </c>
      <c r="C9" s="38">
        <f>SUMIFS(Simple_Input!$D:$D,Simple_Input!$B:$B,B9,Simple_Input!$C:$C,"Day")</f>
        <v>108</v>
      </c>
      <c r="D9" s="38">
        <f>SUMIFS(Simple_Input!$E:$E,Simple_Input!$B:$B,B9,Simple_Input!$C:$C,"Day")</f>
        <v>0</v>
      </c>
      <c r="E9" s="38">
        <f>SUMIFS(Simple_Input!$D:$D,Simple_Input!$B:$B,B9,Simple_Input!$C:$C,"Night")</f>
        <v>108</v>
      </c>
      <c r="F9" s="38">
        <f>SUMIFS(Simple_Input!$E:$E,Simple_Input!$B:$B,B9,Simple_Input!$C:$C,"Night")</f>
        <v>0</v>
      </c>
      <c r="G9" s="38">
        <f t="shared" ref="G9:H11" si="3">C9+E9</f>
        <v>216</v>
      </c>
      <c r="H9" s="38">
        <f t="shared" si="3"/>
        <v>0</v>
      </c>
      <c r="I9" s="39">
        <f t="shared" si="1"/>
        <v>0</v>
      </c>
      <c r="J9" s="11" t="str">
        <f>IF(SUMPRODUCT((Simple_Input!$B$3:$B$21=B9)*(Simple_Input!$C$3:$C$21="Day")*ROW(Simple_Input!$B$3:$B$21))&gt;0,IF(INDEX(Simple_Input!$J:$J,SUMPRODUCT((Simple_Input!$B$3:$B$21=B9)*(Simple_Input!$C$3:$C$21="Day")*ROW(Simple_Input!$B$3:$B$21)))&lt;&gt;0,INDEX(Simple_Input!$J:$J,SUMPRODUCT((Simple_Input!$B$3:$B$21=B9)*(Simple_Input!$C$3:$C$21="Day")*ROW(Simple_Input!$B$3:$B$21))),IF(SUMPRODUCT((Simple_Input!$B$23:$B$41=B9)*(Simple_Input!$C$23:$C$41="Night")*ROW(Simple_Input!$B$23:$B$41))&gt;0,IF(INDEX(Simple_Input!$J:$J,SUMPRODUCT((Simple_Input!$B$23:$B$41=B9)*(Simple_Input!$C$23:$C$41="Night")*ROW(Simple_Input!$B$23:$B$41)))&lt;&gt;0,INDEX(Simple_Input!$J:$J,SUMPRODUCT((Simple_Input!$B$23:$B$41=B9)*(Simple_Input!$C$23:$C$41="Night")*ROW(Simple_Input!$B$23:$B$41))),""),"")),IF(SUMPRODUCT((Simple_Input!$B$23:$B$41=B9)*(Simple_Input!$C$23:$C$41="Night")*ROW(Simple_Input!$B$23:$B$41))&gt;0,IF(INDEX(Simple_Input!$J:$J,SUMPRODUCT((Simple_Input!$B$23:$B$41=B9)*(Simple_Input!$C$23:$C$41="Night")*ROW(Simple_Input!$B$23:$B$41)))&lt;&gt;0,INDEX(Simple_Input!$J:$J,SUMPRODUCT((Simple_Input!$B$23:$B$41=B9)*(Simple_Input!$C$23:$C$41="Night")*ROW(Simple_Input!$B$23:$B$41))),""),""))</f>
        <v/>
      </c>
    </row>
    <row r="10" spans="1:10" ht="21.75" customHeight="1" x14ac:dyDescent="0.25">
      <c r="A10" s="11" t="s">
        <v>134</v>
      </c>
      <c r="B10" s="11" t="s">
        <v>137</v>
      </c>
      <c r="C10" s="38">
        <f>SUMIFS(Simple_Input!$D:$D,Simple_Input!$B:$B,B10,Simple_Input!$C:$C,"Day")</f>
        <v>72</v>
      </c>
      <c r="D10" s="38">
        <f>SUMIFS(Simple_Input!$E:$E,Simple_Input!$B:$B,B10,Simple_Input!$C:$C,"Day")</f>
        <v>0</v>
      </c>
      <c r="E10" s="38">
        <f>SUMIFS(Simple_Input!$D:$D,Simple_Input!$B:$B,B10,Simple_Input!$C:$C,"Night")</f>
        <v>72</v>
      </c>
      <c r="F10" s="38">
        <f>SUMIFS(Simple_Input!$E:$E,Simple_Input!$B:$B,B10,Simple_Input!$C:$C,"Night")</f>
        <v>0</v>
      </c>
      <c r="G10" s="38">
        <f t="shared" si="3"/>
        <v>144</v>
      </c>
      <c r="H10" s="38">
        <f t="shared" si="3"/>
        <v>0</v>
      </c>
      <c r="I10" s="39">
        <f t="shared" si="1"/>
        <v>0</v>
      </c>
      <c r="J10" s="11" t="str">
        <f>IF(SUMPRODUCT((Simple_Input!$B$3:$B$21=B10)*(Simple_Input!$C$3:$C$21="Day")*ROW(Simple_Input!$B$3:$B$21))&gt;0,IF(INDEX(Simple_Input!$J:$J,SUMPRODUCT((Simple_Input!$B$3:$B$21=B10)*(Simple_Input!$C$3:$C$21="Day")*ROW(Simple_Input!$B$3:$B$21)))&lt;&gt;0,INDEX(Simple_Input!$J:$J,SUMPRODUCT((Simple_Input!$B$3:$B$21=B10)*(Simple_Input!$C$3:$C$21="Day")*ROW(Simple_Input!$B$3:$B$21))),IF(SUMPRODUCT((Simple_Input!$B$23:$B$41=B10)*(Simple_Input!$C$23:$C$41="Night")*ROW(Simple_Input!$B$23:$B$41))&gt;0,IF(INDEX(Simple_Input!$J:$J,SUMPRODUCT((Simple_Input!$B$23:$B$41=B10)*(Simple_Input!$C$23:$C$41="Night")*ROW(Simple_Input!$B$23:$B$41)))&lt;&gt;0,INDEX(Simple_Input!$J:$J,SUMPRODUCT((Simple_Input!$B$23:$B$41=B10)*(Simple_Input!$C$23:$C$41="Night")*ROW(Simple_Input!$B$23:$B$41))),""),"")),IF(SUMPRODUCT((Simple_Input!$B$23:$B$41=B10)*(Simple_Input!$C$23:$C$41="Night")*ROW(Simple_Input!$B$23:$B$41))&gt;0,IF(INDEX(Simple_Input!$J:$J,SUMPRODUCT((Simple_Input!$B$23:$B$41=B10)*(Simple_Input!$C$23:$C$41="Night")*ROW(Simple_Input!$B$23:$B$41)))&lt;&gt;0,INDEX(Simple_Input!$J:$J,SUMPRODUCT((Simple_Input!$B$23:$B$41=B10)*(Simple_Input!$C$23:$C$41="Night")*ROW(Simple_Input!$B$23:$B$41))),""),""))</f>
        <v/>
      </c>
    </row>
    <row r="11" spans="1:10" ht="21.75" customHeight="1" x14ac:dyDescent="0.25">
      <c r="A11" s="11" t="s">
        <v>134</v>
      </c>
      <c r="B11" s="11" t="s">
        <v>135</v>
      </c>
      <c r="C11" s="38">
        <f>SUMIFS(Simple_Input!$D:$D,Simple_Input!$B:$B,B11,Simple_Input!$C:$C,"Day")</f>
        <v>72</v>
      </c>
      <c r="D11" s="38">
        <f>SUMIFS(Simple_Input!$E:$E,Simple_Input!$B:$B,B11,Simple_Input!$C:$C,"Day")</f>
        <v>0</v>
      </c>
      <c r="E11" s="38">
        <f>SUMIFS(Simple_Input!$D:$D,Simple_Input!$B:$B,B11,Simple_Input!$C:$C,"Night")</f>
        <v>72</v>
      </c>
      <c r="F11" s="38">
        <f>SUMIFS(Simple_Input!$E:$E,Simple_Input!$B:$B,B11,Simple_Input!$C:$C,"Night")</f>
        <v>0</v>
      </c>
      <c r="G11" s="38">
        <f t="shared" si="3"/>
        <v>144</v>
      </c>
      <c r="H11" s="38">
        <f t="shared" si="3"/>
        <v>0</v>
      </c>
      <c r="I11" s="39">
        <f t="shared" si="1"/>
        <v>0</v>
      </c>
      <c r="J11" s="11" t="str">
        <f>IF(SUMPRODUCT((Simple_Input!$B$3:$B$21=B11)*(Simple_Input!$C$3:$C$21="Day")*ROW(Simple_Input!$B$3:$B$21))&gt;0,IF(INDEX(Simple_Input!$J:$J,SUMPRODUCT((Simple_Input!$B$3:$B$21=B11)*(Simple_Input!$C$3:$C$21="Day")*ROW(Simple_Input!$B$3:$B$21)))&lt;&gt;0,INDEX(Simple_Input!$J:$J,SUMPRODUCT((Simple_Input!$B$3:$B$21=B11)*(Simple_Input!$C$3:$C$21="Day")*ROW(Simple_Input!$B$3:$B$21))),IF(SUMPRODUCT((Simple_Input!$B$23:$B$41=B11)*(Simple_Input!$C$23:$C$41="Night")*ROW(Simple_Input!$B$23:$B$41))&gt;0,IF(INDEX(Simple_Input!$J:$J,SUMPRODUCT((Simple_Input!$B$23:$B$41=B11)*(Simple_Input!$C$23:$C$41="Night")*ROW(Simple_Input!$B$23:$B$41)))&lt;&gt;0,INDEX(Simple_Input!$J:$J,SUMPRODUCT((Simple_Input!$B$23:$B$41=B11)*(Simple_Input!$C$23:$C$41="Night")*ROW(Simple_Input!$B$23:$B$41))),""),"")),IF(SUMPRODUCT((Simple_Input!$B$23:$B$41=B11)*(Simple_Input!$C$23:$C$41="Night")*ROW(Simple_Input!$B$23:$B$41))&gt;0,IF(INDEX(Simple_Input!$J:$J,SUMPRODUCT((Simple_Input!$B$23:$B$41=B11)*(Simple_Input!$C$23:$C$41="Night")*ROW(Simple_Input!$B$23:$B$41)))&lt;&gt;0,INDEX(Simple_Input!$J:$J,SUMPRODUCT((Simple_Input!$B$23:$B$41=B11)*(Simple_Input!$C$23:$C$41="Night")*ROW(Simple_Input!$B$23:$B$41))),""),""))</f>
        <v/>
      </c>
    </row>
    <row r="12" spans="1:10" ht="21.75" customHeight="1" x14ac:dyDescent="0.25">
      <c r="A12" s="40" t="s">
        <v>177</v>
      </c>
      <c r="B12" s="41" t="s">
        <v>134</v>
      </c>
      <c r="C12" s="42">
        <f t="shared" ref="C12:H12" si="4">SUM(C9:C11)</f>
        <v>252</v>
      </c>
      <c r="D12" s="42">
        <f t="shared" si="4"/>
        <v>0</v>
      </c>
      <c r="E12" s="42">
        <f t="shared" si="4"/>
        <v>252</v>
      </c>
      <c r="F12" s="42">
        <f t="shared" si="4"/>
        <v>0</v>
      </c>
      <c r="G12" s="42">
        <f t="shared" si="4"/>
        <v>504</v>
      </c>
      <c r="H12" s="42">
        <f t="shared" si="4"/>
        <v>0</v>
      </c>
      <c r="I12" s="43">
        <f t="shared" si="1"/>
        <v>0</v>
      </c>
      <c r="J12" s="41"/>
    </row>
    <row r="13" spans="1:10" ht="21.75" customHeight="1" x14ac:dyDescent="0.25">
      <c r="A13" s="11" t="s">
        <v>138</v>
      </c>
      <c r="B13" s="11" t="s">
        <v>141</v>
      </c>
      <c r="C13" s="38">
        <f>SUMIFS(Simple_Input!$D:$D,Simple_Input!$B:$B,B13,Simple_Input!$C:$C,"Day")</f>
        <v>750</v>
      </c>
      <c r="D13" s="38">
        <f>SUMIFS(Simple_Input!$E:$E,Simple_Input!$B:$B,B13,Simple_Input!$C:$C,"Day")</f>
        <v>0</v>
      </c>
      <c r="E13" s="38">
        <f>SUMIFS(Simple_Input!$D:$D,Simple_Input!$B:$B,B13,Simple_Input!$C:$C,"Night")</f>
        <v>750</v>
      </c>
      <c r="F13" s="38">
        <f>SUMIFS(Simple_Input!$E:$E,Simple_Input!$B:$B,B13,Simple_Input!$C:$C,"Night")</f>
        <v>0</v>
      </c>
      <c r="G13" s="38">
        <f t="shared" ref="G13:H15" si="5">C13+E13</f>
        <v>1500</v>
      </c>
      <c r="H13" s="38">
        <f t="shared" si="5"/>
        <v>0</v>
      </c>
      <c r="I13" s="39">
        <f t="shared" si="1"/>
        <v>0</v>
      </c>
      <c r="J13" s="11" t="str">
        <f>IF(SUMPRODUCT((Simple_Input!$B$3:$B$21=B13)*(Simple_Input!$C$3:$C$21="Day")*ROW(Simple_Input!$B$3:$B$21))&gt;0,IF(INDEX(Simple_Input!$J:$J,SUMPRODUCT((Simple_Input!$B$3:$B$21=B13)*(Simple_Input!$C$3:$C$21="Day")*ROW(Simple_Input!$B$3:$B$21)))&lt;&gt;0,INDEX(Simple_Input!$J:$J,SUMPRODUCT((Simple_Input!$B$3:$B$21=B13)*(Simple_Input!$C$3:$C$21="Day")*ROW(Simple_Input!$B$3:$B$21))),IF(SUMPRODUCT((Simple_Input!$B$23:$B$41=B13)*(Simple_Input!$C$23:$C$41="Night")*ROW(Simple_Input!$B$23:$B$41))&gt;0,IF(INDEX(Simple_Input!$J:$J,SUMPRODUCT((Simple_Input!$B$23:$B$41=B13)*(Simple_Input!$C$23:$C$41="Night")*ROW(Simple_Input!$B$23:$B$41)))&lt;&gt;0,INDEX(Simple_Input!$J:$J,SUMPRODUCT((Simple_Input!$B$23:$B$41=B13)*(Simple_Input!$C$23:$C$41="Night")*ROW(Simple_Input!$B$23:$B$41))),""),"")),IF(SUMPRODUCT((Simple_Input!$B$23:$B$41=B13)*(Simple_Input!$C$23:$C$41="Night")*ROW(Simple_Input!$B$23:$B$41))&gt;0,IF(INDEX(Simple_Input!$J:$J,SUMPRODUCT((Simple_Input!$B$23:$B$41=B13)*(Simple_Input!$C$23:$C$41="Night")*ROW(Simple_Input!$B$23:$B$41)))&lt;&gt;0,INDEX(Simple_Input!$J:$J,SUMPRODUCT((Simple_Input!$B$23:$B$41=B13)*(Simple_Input!$C$23:$C$41="Night")*ROW(Simple_Input!$B$23:$B$41))),""),""))</f>
        <v/>
      </c>
    </row>
    <row r="14" spans="1:10" ht="21.75" customHeight="1" x14ac:dyDescent="0.25">
      <c r="A14" s="11" t="s">
        <v>138</v>
      </c>
      <c r="B14" s="11" t="s">
        <v>142</v>
      </c>
      <c r="C14" s="38">
        <f>SUMIFS(Simple_Input!$D:$D,Simple_Input!$B:$B,B14,Simple_Input!$C:$C,"Day")</f>
        <v>750</v>
      </c>
      <c r="D14" s="38">
        <f>SUMIFS(Simple_Input!$E:$E,Simple_Input!$B:$B,B14,Simple_Input!$C:$C,"Day")</f>
        <v>0</v>
      </c>
      <c r="E14" s="38">
        <f>SUMIFS(Simple_Input!$D:$D,Simple_Input!$B:$B,B14,Simple_Input!$C:$C,"Night")</f>
        <v>750</v>
      </c>
      <c r="F14" s="38">
        <f>SUMIFS(Simple_Input!$E:$E,Simple_Input!$B:$B,B14,Simple_Input!$C:$C,"Night")</f>
        <v>0</v>
      </c>
      <c r="G14" s="38">
        <f t="shared" si="5"/>
        <v>1500</v>
      </c>
      <c r="H14" s="38">
        <f t="shared" si="5"/>
        <v>0</v>
      </c>
      <c r="I14" s="39">
        <f t="shared" si="1"/>
        <v>0</v>
      </c>
      <c r="J14" s="11" t="str">
        <f>IF(SUMPRODUCT((Simple_Input!$B$3:$B$21=B14)*(Simple_Input!$C$3:$C$21="Day")*ROW(Simple_Input!$B$3:$B$21))&gt;0,IF(INDEX(Simple_Input!$J:$J,SUMPRODUCT((Simple_Input!$B$3:$B$21=B14)*(Simple_Input!$C$3:$C$21="Day")*ROW(Simple_Input!$B$3:$B$21)))&lt;&gt;0,INDEX(Simple_Input!$J:$J,SUMPRODUCT((Simple_Input!$B$3:$B$21=B14)*(Simple_Input!$C$3:$C$21="Day")*ROW(Simple_Input!$B$3:$B$21))),IF(SUMPRODUCT((Simple_Input!$B$23:$B$41=B14)*(Simple_Input!$C$23:$C$41="Night")*ROW(Simple_Input!$B$23:$B$41))&gt;0,IF(INDEX(Simple_Input!$J:$J,SUMPRODUCT((Simple_Input!$B$23:$B$41=B14)*(Simple_Input!$C$23:$C$41="Night")*ROW(Simple_Input!$B$23:$B$41)))&lt;&gt;0,INDEX(Simple_Input!$J:$J,SUMPRODUCT((Simple_Input!$B$23:$B$41=B14)*(Simple_Input!$C$23:$C$41="Night")*ROW(Simple_Input!$B$23:$B$41))),""),"")),IF(SUMPRODUCT((Simple_Input!$B$23:$B$41=B14)*(Simple_Input!$C$23:$C$41="Night")*ROW(Simple_Input!$B$23:$B$41))&gt;0,IF(INDEX(Simple_Input!$J:$J,SUMPRODUCT((Simple_Input!$B$23:$B$41=B14)*(Simple_Input!$C$23:$C$41="Night")*ROW(Simple_Input!$B$23:$B$41)))&lt;&gt;0,INDEX(Simple_Input!$J:$J,SUMPRODUCT((Simple_Input!$B$23:$B$41=B14)*(Simple_Input!$C$23:$C$41="Night")*ROW(Simple_Input!$B$23:$B$41))),""),""))</f>
        <v/>
      </c>
    </row>
    <row r="15" spans="1:10" ht="21.75" customHeight="1" x14ac:dyDescent="0.25">
      <c r="A15" s="11" t="s">
        <v>138</v>
      </c>
      <c r="B15" s="11" t="s">
        <v>139</v>
      </c>
      <c r="C15" s="38">
        <f>SUMIFS(Simple_Input!$D:$D,Simple_Input!$B:$B,B15,Simple_Input!$C:$C,"Day")</f>
        <v>500</v>
      </c>
      <c r="D15" s="38">
        <f>SUMIFS(Simple_Input!$E:$E,Simple_Input!$B:$B,B15,Simple_Input!$C:$C,"Day")</f>
        <v>0</v>
      </c>
      <c r="E15" s="38">
        <f>SUMIFS(Simple_Input!$D:$D,Simple_Input!$B:$B,B15,Simple_Input!$C:$C,"Night")</f>
        <v>500</v>
      </c>
      <c r="F15" s="38">
        <f>SUMIFS(Simple_Input!$E:$E,Simple_Input!$B:$B,B15,Simple_Input!$C:$C,"Night")</f>
        <v>0</v>
      </c>
      <c r="G15" s="38">
        <f t="shared" si="5"/>
        <v>1000</v>
      </c>
      <c r="H15" s="38">
        <f t="shared" si="5"/>
        <v>0</v>
      </c>
      <c r="I15" s="39">
        <f t="shared" si="1"/>
        <v>0</v>
      </c>
      <c r="J15" s="11" t="str">
        <f>IF(SUMPRODUCT((Simple_Input!$B$3:$B$21=B15)*(Simple_Input!$C$3:$C$21="Day")*ROW(Simple_Input!$B$3:$B$21))&gt;0,IF(INDEX(Simple_Input!$J:$J,SUMPRODUCT((Simple_Input!$B$3:$B$21=B15)*(Simple_Input!$C$3:$C$21="Day")*ROW(Simple_Input!$B$3:$B$21)))&lt;&gt;0,INDEX(Simple_Input!$J:$J,SUMPRODUCT((Simple_Input!$B$3:$B$21=B15)*(Simple_Input!$C$3:$C$21="Day")*ROW(Simple_Input!$B$3:$B$21))),IF(SUMPRODUCT((Simple_Input!$B$23:$B$41=B15)*(Simple_Input!$C$23:$C$41="Night")*ROW(Simple_Input!$B$23:$B$41))&gt;0,IF(INDEX(Simple_Input!$J:$J,SUMPRODUCT((Simple_Input!$B$23:$B$41=B15)*(Simple_Input!$C$23:$C$41="Night")*ROW(Simple_Input!$B$23:$B$41)))&lt;&gt;0,INDEX(Simple_Input!$J:$J,SUMPRODUCT((Simple_Input!$B$23:$B$41=B15)*(Simple_Input!$C$23:$C$41="Night")*ROW(Simple_Input!$B$23:$B$41))),""),"")),IF(SUMPRODUCT((Simple_Input!$B$23:$B$41=B15)*(Simple_Input!$C$23:$C$41="Night")*ROW(Simple_Input!$B$23:$B$41))&gt;0,IF(INDEX(Simple_Input!$J:$J,SUMPRODUCT((Simple_Input!$B$23:$B$41=B15)*(Simple_Input!$C$23:$C$41="Night")*ROW(Simple_Input!$B$23:$B$41)))&lt;&gt;0,INDEX(Simple_Input!$J:$J,SUMPRODUCT((Simple_Input!$B$23:$B$41=B15)*(Simple_Input!$C$23:$C$41="Night")*ROW(Simple_Input!$B$23:$B$41))),""),""))</f>
        <v/>
      </c>
    </row>
    <row r="16" spans="1:10" ht="21.75" customHeight="1" x14ac:dyDescent="0.25">
      <c r="A16" s="40" t="s">
        <v>178</v>
      </c>
      <c r="B16" s="41" t="s">
        <v>138</v>
      </c>
      <c r="C16" s="42">
        <f t="shared" ref="C16:H16" si="6">SUM(C13:C15)</f>
        <v>2000</v>
      </c>
      <c r="D16" s="42">
        <f t="shared" si="6"/>
        <v>0</v>
      </c>
      <c r="E16" s="42">
        <f t="shared" si="6"/>
        <v>2000</v>
      </c>
      <c r="F16" s="42">
        <f t="shared" si="6"/>
        <v>0</v>
      </c>
      <c r="G16" s="42">
        <f t="shared" si="6"/>
        <v>4000</v>
      </c>
      <c r="H16" s="42">
        <f t="shared" si="6"/>
        <v>0</v>
      </c>
      <c r="I16" s="43">
        <f t="shared" si="1"/>
        <v>0</v>
      </c>
      <c r="J16" s="41"/>
    </row>
    <row r="17" spans="1:10" ht="21.75" customHeight="1" x14ac:dyDescent="0.25">
      <c r="A17" s="11" t="s">
        <v>143</v>
      </c>
      <c r="B17" s="11" t="s">
        <v>144</v>
      </c>
      <c r="C17" s="38">
        <f>SUMIFS(Simple_Input!$D:$D,Simple_Input!$B:$B,B17,Simple_Input!$C:$C,"Day")</f>
        <v>75</v>
      </c>
      <c r="D17" s="38">
        <f>SUMIFS(Simple_Input!$E:$E,Simple_Input!$B:$B,B17,Simple_Input!$C:$C,"Day")</f>
        <v>0</v>
      </c>
      <c r="E17" s="38">
        <f>SUMIFS(Simple_Input!$D:$D,Simple_Input!$B:$B,B17,Simple_Input!$C:$C,"Night")</f>
        <v>75</v>
      </c>
      <c r="F17" s="38">
        <f>SUMIFS(Simple_Input!$E:$E,Simple_Input!$B:$B,B17,Simple_Input!$C:$C,"Night")</f>
        <v>0</v>
      </c>
      <c r="G17" s="38">
        <f t="shared" ref="G17:H23" si="7">C17+E17</f>
        <v>150</v>
      </c>
      <c r="H17" s="38">
        <f t="shared" si="7"/>
        <v>0</v>
      </c>
      <c r="I17" s="39">
        <f t="shared" si="1"/>
        <v>0</v>
      </c>
      <c r="J17" s="11" t="str">
        <f>IF(SUMPRODUCT((Simple_Input!$B$3:$B$21=B17)*(Simple_Input!$C$3:$C$21="Day")*ROW(Simple_Input!$B$3:$B$21))&gt;0,IF(INDEX(Simple_Input!$J:$J,SUMPRODUCT((Simple_Input!$B$3:$B$21=B17)*(Simple_Input!$C$3:$C$21="Day")*ROW(Simple_Input!$B$3:$B$21)))&lt;&gt;0,INDEX(Simple_Input!$J:$J,SUMPRODUCT((Simple_Input!$B$3:$B$21=B17)*(Simple_Input!$C$3:$C$21="Day")*ROW(Simple_Input!$B$3:$B$21))),IF(SUMPRODUCT((Simple_Input!$B$23:$B$41=B17)*(Simple_Input!$C$23:$C$41="Night")*ROW(Simple_Input!$B$23:$B$41))&gt;0,IF(INDEX(Simple_Input!$J:$J,SUMPRODUCT((Simple_Input!$B$23:$B$41=B17)*(Simple_Input!$C$23:$C$41="Night")*ROW(Simple_Input!$B$23:$B$41)))&lt;&gt;0,INDEX(Simple_Input!$J:$J,SUMPRODUCT((Simple_Input!$B$23:$B$41=B17)*(Simple_Input!$C$23:$C$41="Night")*ROW(Simple_Input!$B$23:$B$41))),""),"")),IF(SUMPRODUCT((Simple_Input!$B$23:$B$41=B17)*(Simple_Input!$C$23:$C$41="Night")*ROW(Simple_Input!$B$23:$B$41))&gt;0,IF(INDEX(Simple_Input!$J:$J,SUMPRODUCT((Simple_Input!$B$23:$B$41=B17)*(Simple_Input!$C$23:$C$41="Night")*ROW(Simple_Input!$B$23:$B$41)))&lt;&gt;0,INDEX(Simple_Input!$J:$J,SUMPRODUCT((Simple_Input!$B$23:$B$41=B17)*(Simple_Input!$C$23:$C$41="Night")*ROW(Simple_Input!$B$23:$B$41))),""),""))</f>
        <v/>
      </c>
    </row>
    <row r="18" spans="1:10" ht="21.75" customHeight="1" x14ac:dyDescent="0.25">
      <c r="A18" s="11" t="s">
        <v>143</v>
      </c>
      <c r="B18" s="11" t="s">
        <v>146</v>
      </c>
      <c r="C18" s="38">
        <f>SUMIFS(Simple_Input!$D:$D,Simple_Input!$B:$B,B18,Simple_Input!$C:$C,"Day")</f>
        <v>75</v>
      </c>
      <c r="D18" s="38">
        <f>SUMIFS(Simple_Input!$E:$E,Simple_Input!$B:$B,B18,Simple_Input!$C:$C,"Day")</f>
        <v>0</v>
      </c>
      <c r="E18" s="38">
        <f>SUMIFS(Simple_Input!$D:$D,Simple_Input!$B:$B,B18,Simple_Input!$C:$C,"Night")</f>
        <v>75</v>
      </c>
      <c r="F18" s="38">
        <f>SUMIFS(Simple_Input!$E:$E,Simple_Input!$B:$B,B18,Simple_Input!$C:$C,"Night")</f>
        <v>0</v>
      </c>
      <c r="G18" s="38">
        <f t="shared" si="7"/>
        <v>150</v>
      </c>
      <c r="H18" s="38">
        <f t="shared" si="7"/>
        <v>0</v>
      </c>
      <c r="I18" s="39">
        <f t="shared" si="1"/>
        <v>0</v>
      </c>
      <c r="J18" s="11" t="str">
        <f>IF(SUMPRODUCT((Simple_Input!$B$3:$B$21=B18)*(Simple_Input!$C$3:$C$21="Day")*ROW(Simple_Input!$B$3:$B$21))&gt;0,IF(INDEX(Simple_Input!$J:$J,SUMPRODUCT((Simple_Input!$B$3:$B$21=B18)*(Simple_Input!$C$3:$C$21="Day")*ROW(Simple_Input!$B$3:$B$21)))&lt;&gt;0,INDEX(Simple_Input!$J:$J,SUMPRODUCT((Simple_Input!$B$3:$B$21=B18)*(Simple_Input!$C$3:$C$21="Day")*ROW(Simple_Input!$B$3:$B$21))),IF(SUMPRODUCT((Simple_Input!$B$23:$B$41=B18)*(Simple_Input!$C$23:$C$41="Night")*ROW(Simple_Input!$B$23:$B$41))&gt;0,IF(INDEX(Simple_Input!$J:$J,SUMPRODUCT((Simple_Input!$B$23:$B$41=B18)*(Simple_Input!$C$23:$C$41="Night")*ROW(Simple_Input!$B$23:$B$41)))&lt;&gt;0,INDEX(Simple_Input!$J:$J,SUMPRODUCT((Simple_Input!$B$23:$B$41=B18)*(Simple_Input!$C$23:$C$41="Night")*ROW(Simple_Input!$B$23:$B$41))),""),"")),IF(SUMPRODUCT((Simple_Input!$B$23:$B$41=B18)*(Simple_Input!$C$23:$C$41="Night")*ROW(Simple_Input!$B$23:$B$41))&gt;0,IF(INDEX(Simple_Input!$J:$J,SUMPRODUCT((Simple_Input!$B$23:$B$41=B18)*(Simple_Input!$C$23:$C$41="Night")*ROW(Simple_Input!$B$23:$B$41)))&lt;&gt;0,INDEX(Simple_Input!$J:$J,SUMPRODUCT((Simple_Input!$B$23:$B$41=B18)*(Simple_Input!$C$23:$C$41="Night")*ROW(Simple_Input!$B$23:$B$41))),""),""))</f>
        <v/>
      </c>
    </row>
    <row r="19" spans="1:10" ht="21.75" customHeight="1" x14ac:dyDescent="0.25">
      <c r="A19" s="11" t="s">
        <v>143</v>
      </c>
      <c r="B19" s="11" t="s">
        <v>147</v>
      </c>
      <c r="C19" s="38">
        <f>SUMIFS(Simple_Input!$D:$D,Simple_Input!$B:$B,B19,Simple_Input!$C:$C,"Day")</f>
        <v>75</v>
      </c>
      <c r="D19" s="38">
        <f>SUMIFS(Simple_Input!$E:$E,Simple_Input!$B:$B,B19,Simple_Input!$C:$C,"Day")</f>
        <v>0</v>
      </c>
      <c r="E19" s="38">
        <f>SUMIFS(Simple_Input!$D:$D,Simple_Input!$B:$B,B19,Simple_Input!$C:$C,"Night")</f>
        <v>75</v>
      </c>
      <c r="F19" s="38">
        <f>SUMIFS(Simple_Input!$E:$E,Simple_Input!$B:$B,B19,Simple_Input!$C:$C,"Night")</f>
        <v>0</v>
      </c>
      <c r="G19" s="38">
        <f t="shared" si="7"/>
        <v>150</v>
      </c>
      <c r="H19" s="38">
        <f t="shared" si="7"/>
        <v>0</v>
      </c>
      <c r="I19" s="39">
        <f t="shared" si="1"/>
        <v>0</v>
      </c>
      <c r="J19" s="11" t="str">
        <f>IF(SUMPRODUCT((Simple_Input!$B$3:$B$21=B19)*(Simple_Input!$C$3:$C$21="Day")*ROW(Simple_Input!$B$3:$B$21))&gt;0,IF(INDEX(Simple_Input!$J:$J,SUMPRODUCT((Simple_Input!$B$3:$B$21=B19)*(Simple_Input!$C$3:$C$21="Day")*ROW(Simple_Input!$B$3:$B$21)))&lt;&gt;0,INDEX(Simple_Input!$J:$J,SUMPRODUCT((Simple_Input!$B$3:$B$21=B19)*(Simple_Input!$C$3:$C$21="Day")*ROW(Simple_Input!$B$3:$B$21))),IF(SUMPRODUCT((Simple_Input!$B$23:$B$41=B19)*(Simple_Input!$C$23:$C$41="Night")*ROW(Simple_Input!$B$23:$B$41))&gt;0,IF(INDEX(Simple_Input!$J:$J,SUMPRODUCT((Simple_Input!$B$23:$B$41=B19)*(Simple_Input!$C$23:$C$41="Night")*ROW(Simple_Input!$B$23:$B$41)))&lt;&gt;0,INDEX(Simple_Input!$J:$J,SUMPRODUCT((Simple_Input!$B$23:$B$41=B19)*(Simple_Input!$C$23:$C$41="Night")*ROW(Simple_Input!$B$23:$B$41))),""),"")),IF(SUMPRODUCT((Simple_Input!$B$23:$B$41=B19)*(Simple_Input!$C$23:$C$41="Night")*ROW(Simple_Input!$B$23:$B$41))&gt;0,IF(INDEX(Simple_Input!$J:$J,SUMPRODUCT((Simple_Input!$B$23:$B$41=B19)*(Simple_Input!$C$23:$C$41="Night")*ROW(Simple_Input!$B$23:$B$41)))&lt;&gt;0,INDEX(Simple_Input!$J:$J,SUMPRODUCT((Simple_Input!$B$23:$B$41=B19)*(Simple_Input!$C$23:$C$41="Night")*ROW(Simple_Input!$B$23:$B$41))),""),""))</f>
        <v/>
      </c>
    </row>
    <row r="20" spans="1:10" ht="21.75" customHeight="1" x14ac:dyDescent="0.25">
      <c r="A20" s="11" t="s">
        <v>143</v>
      </c>
      <c r="B20" s="11" t="s">
        <v>148</v>
      </c>
      <c r="C20" s="38">
        <f>SUMIFS(Simple_Input!$D:$D,Simple_Input!$B:$B,B20,Simple_Input!$C:$C,"Day")</f>
        <v>75</v>
      </c>
      <c r="D20" s="38">
        <f>SUMIFS(Simple_Input!$E:$E,Simple_Input!$B:$B,B20,Simple_Input!$C:$C,"Day")</f>
        <v>0</v>
      </c>
      <c r="E20" s="38">
        <f>SUMIFS(Simple_Input!$D:$D,Simple_Input!$B:$B,B20,Simple_Input!$C:$C,"Night")</f>
        <v>75</v>
      </c>
      <c r="F20" s="38">
        <f>SUMIFS(Simple_Input!$E:$E,Simple_Input!$B:$B,B20,Simple_Input!$C:$C,"Night")</f>
        <v>0</v>
      </c>
      <c r="G20" s="38">
        <f t="shared" si="7"/>
        <v>150</v>
      </c>
      <c r="H20" s="38">
        <f t="shared" si="7"/>
        <v>0</v>
      </c>
      <c r="I20" s="39">
        <f t="shared" si="1"/>
        <v>0</v>
      </c>
      <c r="J20" s="11" t="str">
        <f>IF(SUMPRODUCT((Simple_Input!$B$3:$B$21=B20)*(Simple_Input!$C$3:$C$21="Day")*ROW(Simple_Input!$B$3:$B$21))&gt;0,IF(INDEX(Simple_Input!$J:$J,SUMPRODUCT((Simple_Input!$B$3:$B$21=B20)*(Simple_Input!$C$3:$C$21="Day")*ROW(Simple_Input!$B$3:$B$21)))&lt;&gt;0,INDEX(Simple_Input!$J:$J,SUMPRODUCT((Simple_Input!$B$3:$B$21=B20)*(Simple_Input!$C$3:$C$21="Day")*ROW(Simple_Input!$B$3:$B$21))),IF(SUMPRODUCT((Simple_Input!$B$23:$B$41=B20)*(Simple_Input!$C$23:$C$41="Night")*ROW(Simple_Input!$B$23:$B$41))&gt;0,IF(INDEX(Simple_Input!$J:$J,SUMPRODUCT((Simple_Input!$B$23:$B$41=B20)*(Simple_Input!$C$23:$C$41="Night")*ROW(Simple_Input!$B$23:$B$41)))&lt;&gt;0,INDEX(Simple_Input!$J:$J,SUMPRODUCT((Simple_Input!$B$23:$B$41=B20)*(Simple_Input!$C$23:$C$41="Night")*ROW(Simple_Input!$B$23:$B$41))),""),"")),IF(SUMPRODUCT((Simple_Input!$B$23:$B$41=B20)*(Simple_Input!$C$23:$C$41="Night")*ROW(Simple_Input!$B$23:$B$41))&gt;0,IF(INDEX(Simple_Input!$J:$J,SUMPRODUCT((Simple_Input!$B$23:$B$41=B20)*(Simple_Input!$C$23:$C$41="Night")*ROW(Simple_Input!$B$23:$B$41)))&lt;&gt;0,INDEX(Simple_Input!$J:$J,SUMPRODUCT((Simple_Input!$B$23:$B$41=B20)*(Simple_Input!$C$23:$C$41="Night")*ROW(Simple_Input!$B$23:$B$41))),""),""))</f>
        <v/>
      </c>
    </row>
    <row r="21" spans="1:10" ht="21.75" customHeight="1" x14ac:dyDescent="0.25">
      <c r="A21" s="11" t="s">
        <v>143</v>
      </c>
      <c r="B21" s="11" t="s">
        <v>149</v>
      </c>
      <c r="C21" s="38">
        <f>SUMIFS(Simple_Input!$D:$D,Simple_Input!$B:$B,B21,Simple_Input!$C:$C,"Day")</f>
        <v>75</v>
      </c>
      <c r="D21" s="38">
        <f>SUMIFS(Simple_Input!$E:$E,Simple_Input!$B:$B,B21,Simple_Input!$C:$C,"Day")</f>
        <v>0</v>
      </c>
      <c r="E21" s="38">
        <f>SUMIFS(Simple_Input!$D:$D,Simple_Input!$B:$B,B21,Simple_Input!$C:$C,"Night")</f>
        <v>75</v>
      </c>
      <c r="F21" s="38">
        <f>SUMIFS(Simple_Input!$E:$E,Simple_Input!$B:$B,B21,Simple_Input!$C:$C,"Night")</f>
        <v>0</v>
      </c>
      <c r="G21" s="38">
        <f t="shared" si="7"/>
        <v>150</v>
      </c>
      <c r="H21" s="38">
        <f t="shared" si="7"/>
        <v>0</v>
      </c>
      <c r="I21" s="39">
        <f t="shared" si="1"/>
        <v>0</v>
      </c>
      <c r="J21" s="11" t="str">
        <f>IF(SUMPRODUCT((Simple_Input!$B$3:$B$21=B21)*(Simple_Input!$C$3:$C$21="Day")*ROW(Simple_Input!$B$3:$B$21))&gt;0,IF(INDEX(Simple_Input!$J:$J,SUMPRODUCT((Simple_Input!$B$3:$B$21=B21)*(Simple_Input!$C$3:$C$21="Day")*ROW(Simple_Input!$B$3:$B$21)))&lt;&gt;0,INDEX(Simple_Input!$J:$J,SUMPRODUCT((Simple_Input!$B$3:$B$21=B21)*(Simple_Input!$C$3:$C$21="Day")*ROW(Simple_Input!$B$3:$B$21))),IF(SUMPRODUCT((Simple_Input!$B$23:$B$41=B21)*(Simple_Input!$C$23:$C$41="Night")*ROW(Simple_Input!$B$23:$B$41))&gt;0,IF(INDEX(Simple_Input!$J:$J,SUMPRODUCT((Simple_Input!$B$23:$B$41=B21)*(Simple_Input!$C$23:$C$41="Night")*ROW(Simple_Input!$B$23:$B$41)))&lt;&gt;0,INDEX(Simple_Input!$J:$J,SUMPRODUCT((Simple_Input!$B$23:$B$41=B21)*(Simple_Input!$C$23:$C$41="Night")*ROW(Simple_Input!$B$23:$B$41))),""),"")),IF(SUMPRODUCT((Simple_Input!$B$23:$B$41=B21)*(Simple_Input!$C$23:$C$41="Night")*ROW(Simple_Input!$B$23:$B$41))&gt;0,IF(INDEX(Simple_Input!$J:$J,SUMPRODUCT((Simple_Input!$B$23:$B$41=B21)*(Simple_Input!$C$23:$C$41="Night")*ROW(Simple_Input!$B$23:$B$41)))&lt;&gt;0,INDEX(Simple_Input!$J:$J,SUMPRODUCT((Simple_Input!$B$23:$B$41=B21)*(Simple_Input!$C$23:$C$41="Night")*ROW(Simple_Input!$B$23:$B$41))),""),""))</f>
        <v/>
      </c>
    </row>
    <row r="22" spans="1:10" ht="21.75" customHeight="1" x14ac:dyDescent="0.25">
      <c r="A22" s="11" t="s">
        <v>143</v>
      </c>
      <c r="B22" s="11" t="s">
        <v>150</v>
      </c>
      <c r="C22" s="38">
        <f>SUMIFS(Simple_Input!$D:$D,Simple_Input!$B:$B,B22,Simple_Input!$C:$C,"Day")</f>
        <v>75</v>
      </c>
      <c r="D22" s="38">
        <f>SUMIFS(Simple_Input!$E:$E,Simple_Input!$B:$B,B22,Simple_Input!$C:$C,"Day")</f>
        <v>0</v>
      </c>
      <c r="E22" s="38">
        <f>SUMIFS(Simple_Input!$D:$D,Simple_Input!$B:$B,B22,Simple_Input!$C:$C,"Night")</f>
        <v>75</v>
      </c>
      <c r="F22" s="38">
        <f>SUMIFS(Simple_Input!$E:$E,Simple_Input!$B:$B,B22,Simple_Input!$C:$C,"Night")</f>
        <v>0</v>
      </c>
      <c r="G22" s="38">
        <f t="shared" si="7"/>
        <v>150</v>
      </c>
      <c r="H22" s="38">
        <f t="shared" si="7"/>
        <v>0</v>
      </c>
      <c r="I22" s="39">
        <f t="shared" si="1"/>
        <v>0</v>
      </c>
      <c r="J22" s="11" t="str">
        <f>IF(SUMPRODUCT((Simple_Input!$B$3:$B$21=B22)*(Simple_Input!$C$3:$C$21="Day")*ROW(Simple_Input!$B$3:$B$21))&gt;0,IF(INDEX(Simple_Input!$J:$J,SUMPRODUCT((Simple_Input!$B$3:$B$21=B22)*(Simple_Input!$C$3:$C$21="Day")*ROW(Simple_Input!$B$3:$B$21)))&lt;&gt;0,INDEX(Simple_Input!$J:$J,SUMPRODUCT((Simple_Input!$B$3:$B$21=B22)*(Simple_Input!$C$3:$C$21="Day")*ROW(Simple_Input!$B$3:$B$21))),IF(SUMPRODUCT((Simple_Input!$B$23:$B$41=B22)*(Simple_Input!$C$23:$C$41="Night")*ROW(Simple_Input!$B$23:$B$41))&gt;0,IF(INDEX(Simple_Input!$J:$J,SUMPRODUCT((Simple_Input!$B$23:$B$41=B22)*(Simple_Input!$C$23:$C$41="Night")*ROW(Simple_Input!$B$23:$B$41)))&lt;&gt;0,INDEX(Simple_Input!$J:$J,SUMPRODUCT((Simple_Input!$B$23:$B$41=B22)*(Simple_Input!$C$23:$C$41="Night")*ROW(Simple_Input!$B$23:$B$41))),""),"")),IF(SUMPRODUCT((Simple_Input!$B$23:$B$41=B22)*(Simple_Input!$C$23:$C$41="Night")*ROW(Simple_Input!$B$23:$B$41))&gt;0,IF(INDEX(Simple_Input!$J:$J,SUMPRODUCT((Simple_Input!$B$23:$B$41=B22)*(Simple_Input!$C$23:$C$41="Night")*ROW(Simple_Input!$B$23:$B$41)))&lt;&gt;0,INDEX(Simple_Input!$J:$J,SUMPRODUCT((Simple_Input!$B$23:$B$41=B22)*(Simple_Input!$C$23:$C$41="Night")*ROW(Simple_Input!$B$23:$B$41))),""),""))</f>
        <v/>
      </c>
    </row>
    <row r="23" spans="1:10" ht="21.75" customHeight="1" x14ac:dyDescent="0.25">
      <c r="A23" s="11" t="s">
        <v>143</v>
      </c>
      <c r="B23" s="11" t="s">
        <v>151</v>
      </c>
      <c r="C23" s="38">
        <f>SUMIFS(Simple_Input!$D:$D,Simple_Input!$B:$B,B23,Simple_Input!$C:$C,"Day")</f>
        <v>75</v>
      </c>
      <c r="D23" s="38">
        <f>SUMIFS(Simple_Input!$E:$E,Simple_Input!$B:$B,B23,Simple_Input!$C:$C,"Day")</f>
        <v>0</v>
      </c>
      <c r="E23" s="38">
        <f>SUMIFS(Simple_Input!$D:$D,Simple_Input!$B:$B,B23,Simple_Input!$C:$C,"Night")</f>
        <v>75</v>
      </c>
      <c r="F23" s="38">
        <f>SUMIFS(Simple_Input!$E:$E,Simple_Input!$B:$B,B23,Simple_Input!$C:$C,"Night")</f>
        <v>0</v>
      </c>
      <c r="G23" s="38">
        <f t="shared" si="7"/>
        <v>150</v>
      </c>
      <c r="H23" s="38">
        <f t="shared" si="7"/>
        <v>0</v>
      </c>
      <c r="I23" s="39">
        <f t="shared" si="1"/>
        <v>0</v>
      </c>
      <c r="J23" s="11" t="str">
        <f>IF(SUMPRODUCT((Simple_Input!$B$3:$B$21=B23)*(Simple_Input!$C$3:$C$21="Day")*ROW(Simple_Input!$B$3:$B$21))&gt;0,IF(INDEX(Simple_Input!$J:$J,SUMPRODUCT((Simple_Input!$B$3:$B$21=B23)*(Simple_Input!$C$3:$C$21="Day")*ROW(Simple_Input!$B$3:$B$21)))&lt;&gt;0,INDEX(Simple_Input!$J:$J,SUMPRODUCT((Simple_Input!$B$3:$B$21=B23)*(Simple_Input!$C$3:$C$21="Day")*ROW(Simple_Input!$B$3:$B$21))),IF(SUMPRODUCT((Simple_Input!$B$23:$B$41=B23)*(Simple_Input!$C$23:$C$41="Night")*ROW(Simple_Input!$B$23:$B$41))&gt;0,IF(INDEX(Simple_Input!$J:$J,SUMPRODUCT((Simple_Input!$B$23:$B$41=B23)*(Simple_Input!$C$23:$C$41="Night")*ROW(Simple_Input!$B$23:$B$41)))&lt;&gt;0,INDEX(Simple_Input!$J:$J,SUMPRODUCT((Simple_Input!$B$23:$B$41=B23)*(Simple_Input!$C$23:$C$41="Night")*ROW(Simple_Input!$B$23:$B$41))),""),"")),IF(SUMPRODUCT((Simple_Input!$B$23:$B$41=B23)*(Simple_Input!$C$23:$C$41="Night")*ROW(Simple_Input!$B$23:$B$41))&gt;0,IF(INDEX(Simple_Input!$J:$J,SUMPRODUCT((Simple_Input!$B$23:$B$41=B23)*(Simple_Input!$C$23:$C$41="Night")*ROW(Simple_Input!$B$23:$B$41)))&lt;&gt;0,INDEX(Simple_Input!$J:$J,SUMPRODUCT((Simple_Input!$B$23:$B$41=B23)*(Simple_Input!$C$23:$C$41="Night")*ROW(Simple_Input!$B$23:$B$41))),""),""))</f>
        <v/>
      </c>
    </row>
    <row r="24" spans="1:10" ht="21.75" customHeight="1" x14ac:dyDescent="0.25">
      <c r="A24" s="40" t="s">
        <v>179</v>
      </c>
      <c r="B24" s="41" t="s">
        <v>143</v>
      </c>
      <c r="C24" s="42">
        <f t="shared" ref="C24:H24" si="8">SUM(C17:C23)</f>
        <v>525</v>
      </c>
      <c r="D24" s="42">
        <f t="shared" si="8"/>
        <v>0</v>
      </c>
      <c r="E24" s="42">
        <f t="shared" si="8"/>
        <v>525</v>
      </c>
      <c r="F24" s="42">
        <f t="shared" si="8"/>
        <v>0</v>
      </c>
      <c r="G24" s="42">
        <f t="shared" si="8"/>
        <v>1050</v>
      </c>
      <c r="H24" s="42">
        <f t="shared" si="8"/>
        <v>0</v>
      </c>
      <c r="I24" s="43">
        <f t="shared" si="1"/>
        <v>0</v>
      </c>
      <c r="J24" s="41"/>
    </row>
    <row r="25" spans="1:10" ht="21.75" customHeight="1" x14ac:dyDescent="0.25">
      <c r="A25" s="11" t="s">
        <v>152</v>
      </c>
      <c r="B25" s="11" t="s">
        <v>153</v>
      </c>
      <c r="C25" s="38">
        <f>SUMIFS(Simple_Input!$D:$D,Simple_Input!$B:$B,B25,Simple_Input!$C:$C,"Day")</f>
        <v>75</v>
      </c>
      <c r="D25" s="38">
        <f>SUMIFS(Simple_Input!$E:$E,Simple_Input!$B:$B,B25,Simple_Input!$C:$C,"Day")</f>
        <v>0</v>
      </c>
      <c r="E25" s="38">
        <f>SUMIFS(Simple_Input!$D:$D,Simple_Input!$B:$B,B25,Simple_Input!$C:$C,"Night")</f>
        <v>75</v>
      </c>
      <c r="F25" s="38">
        <f>SUMIFS(Simple_Input!$E:$E,Simple_Input!$B:$B,B25,Simple_Input!$C:$C,"Night")</f>
        <v>0</v>
      </c>
      <c r="G25" s="38">
        <f>C25+E25</f>
        <v>150</v>
      </c>
      <c r="H25" s="38">
        <f>D25+F25</f>
        <v>0</v>
      </c>
      <c r="I25" s="39">
        <f t="shared" si="1"/>
        <v>0</v>
      </c>
      <c r="J25" s="11" t="str">
        <f>IF(SUMPRODUCT((Simple_Input!$B$3:$B$21=B25)*(Simple_Input!$C$3:$C$21="Day")*ROW(Simple_Input!$B$3:$B$21))&gt;0,IF(INDEX(Simple_Input!$J:$J,SUMPRODUCT((Simple_Input!$B$3:$B$21=B25)*(Simple_Input!$C$3:$C$21="Day")*ROW(Simple_Input!$B$3:$B$21)))&lt;&gt;0,INDEX(Simple_Input!$J:$J,SUMPRODUCT((Simple_Input!$B$3:$B$21=B25)*(Simple_Input!$C$3:$C$21="Day")*ROW(Simple_Input!$B$3:$B$21))),IF(SUMPRODUCT((Simple_Input!$B$23:$B$41=B25)*(Simple_Input!$C$23:$C$41="Night")*ROW(Simple_Input!$B$23:$B$41))&gt;0,IF(INDEX(Simple_Input!$J:$J,SUMPRODUCT((Simple_Input!$B$23:$B$41=B25)*(Simple_Input!$C$23:$C$41="Night")*ROW(Simple_Input!$B$23:$B$41)))&lt;&gt;0,INDEX(Simple_Input!$J:$J,SUMPRODUCT((Simple_Input!$B$23:$B$41=B25)*(Simple_Input!$C$23:$C$41="Night")*ROW(Simple_Input!$B$23:$B$41))),""),"")),IF(SUMPRODUCT((Simple_Input!$B$23:$B$41=B25)*(Simple_Input!$C$23:$C$41="Night")*ROW(Simple_Input!$B$23:$B$41))&gt;0,IF(INDEX(Simple_Input!$J:$J,SUMPRODUCT((Simple_Input!$B$23:$B$41=B25)*(Simple_Input!$C$23:$C$41="Night")*ROW(Simple_Input!$B$23:$B$41)))&lt;&gt;0,INDEX(Simple_Input!$J:$J,SUMPRODUCT((Simple_Input!$B$23:$B$41=B25)*(Simple_Input!$C$23:$C$41="Night")*ROW(Simple_Input!$B$23:$B$41))),""),""))</f>
        <v/>
      </c>
    </row>
    <row r="26" spans="1:10" ht="21.75" customHeight="1" x14ac:dyDescent="0.25">
      <c r="A26" s="11" t="s">
        <v>152</v>
      </c>
      <c r="B26" s="11" t="s">
        <v>154</v>
      </c>
      <c r="C26" s="38">
        <f>SUMIFS(Simple_Input!$D:$D,Simple_Input!$B:$B,B26,Simple_Input!$C:$C,"Day")</f>
        <v>75</v>
      </c>
      <c r="D26" s="38">
        <f>SUMIFS(Simple_Input!$E:$E,Simple_Input!$B:$B,B26,Simple_Input!$C:$C,"Day")</f>
        <v>0</v>
      </c>
      <c r="E26" s="38">
        <f>SUMIFS(Simple_Input!$D:$D,Simple_Input!$B:$B,B26,Simple_Input!$C:$C,"Night")</f>
        <v>75</v>
      </c>
      <c r="F26" s="38">
        <f>SUMIFS(Simple_Input!$E:$E,Simple_Input!$B:$B,B26,Simple_Input!$C:$C,"Night")</f>
        <v>0</v>
      </c>
      <c r="G26" s="38">
        <f>C26+E26</f>
        <v>150</v>
      </c>
      <c r="H26" s="38">
        <f>D26+F26</f>
        <v>0</v>
      </c>
      <c r="I26" s="39">
        <f t="shared" si="1"/>
        <v>0</v>
      </c>
      <c r="J26" s="11" t="str">
        <f>IF(SUMPRODUCT((Simple_Input!$B$3:$B$21=B26)*(Simple_Input!$C$3:$C$21="Day")*ROW(Simple_Input!$B$3:$B$21))&gt;0,IF(INDEX(Simple_Input!$J:$J,SUMPRODUCT((Simple_Input!$B$3:$B$21=B26)*(Simple_Input!$C$3:$C$21="Day")*ROW(Simple_Input!$B$3:$B$21)))&lt;&gt;0,INDEX(Simple_Input!$J:$J,SUMPRODUCT((Simple_Input!$B$3:$B$21=B26)*(Simple_Input!$C$3:$C$21="Day")*ROW(Simple_Input!$B$3:$B$21))),IF(SUMPRODUCT((Simple_Input!$B$23:$B$41=B26)*(Simple_Input!$C$23:$C$41="Night")*ROW(Simple_Input!$B$23:$B$41))&gt;0,IF(INDEX(Simple_Input!$J:$J,SUMPRODUCT((Simple_Input!$B$23:$B$41=B26)*(Simple_Input!$C$23:$C$41="Night")*ROW(Simple_Input!$B$23:$B$41)))&lt;&gt;0,INDEX(Simple_Input!$J:$J,SUMPRODUCT((Simple_Input!$B$23:$B$41=B26)*(Simple_Input!$C$23:$C$41="Night")*ROW(Simple_Input!$B$23:$B$41))),""),"")),IF(SUMPRODUCT((Simple_Input!$B$23:$B$41=B26)*(Simple_Input!$C$23:$C$41="Night")*ROW(Simple_Input!$B$23:$B$41))&gt;0,IF(INDEX(Simple_Input!$J:$J,SUMPRODUCT((Simple_Input!$B$23:$B$41=B26)*(Simple_Input!$C$23:$C$41="Night")*ROW(Simple_Input!$B$23:$B$41)))&lt;&gt;0,INDEX(Simple_Input!$J:$J,SUMPRODUCT((Simple_Input!$B$23:$B$41=B26)*(Simple_Input!$C$23:$C$41="Night")*ROW(Simple_Input!$B$23:$B$41))),""),""))</f>
        <v/>
      </c>
    </row>
    <row r="27" spans="1:10" ht="21.75" customHeight="1" x14ac:dyDescent="0.25">
      <c r="A27" s="40" t="s">
        <v>179</v>
      </c>
      <c r="B27" s="41" t="s">
        <v>152</v>
      </c>
      <c r="C27" s="42">
        <f t="shared" ref="C27:H27" si="9">SUM(C25:C26)</f>
        <v>150</v>
      </c>
      <c r="D27" s="42">
        <f t="shared" si="9"/>
        <v>0</v>
      </c>
      <c r="E27" s="42">
        <f t="shared" si="9"/>
        <v>150</v>
      </c>
      <c r="F27" s="42">
        <f t="shared" si="9"/>
        <v>0</v>
      </c>
      <c r="G27" s="42">
        <f t="shared" si="9"/>
        <v>300</v>
      </c>
      <c r="H27" s="42">
        <f t="shared" si="9"/>
        <v>0</v>
      </c>
      <c r="I27" s="43">
        <f t="shared" si="1"/>
        <v>0</v>
      </c>
      <c r="J27" s="41"/>
    </row>
    <row r="28" spans="1:10" ht="21.75" customHeight="1" x14ac:dyDescent="0.25">
      <c r="A28" s="44" t="s">
        <v>180</v>
      </c>
      <c r="B28" s="45"/>
      <c r="C28" s="46">
        <f t="shared" ref="C28:H28" si="10">SUM(C4:C7,C9:C11,C13:C15,C17:C23,C25:C26)</f>
        <v>3327</v>
      </c>
      <c r="D28" s="46">
        <f t="shared" si="10"/>
        <v>0</v>
      </c>
      <c r="E28" s="46">
        <f t="shared" si="10"/>
        <v>3327</v>
      </c>
      <c r="F28" s="46">
        <f t="shared" si="10"/>
        <v>0</v>
      </c>
      <c r="G28" s="46">
        <f t="shared" si="10"/>
        <v>6654</v>
      </c>
      <c r="H28" s="46">
        <f t="shared" si="10"/>
        <v>0</v>
      </c>
      <c r="I28" s="47">
        <f t="shared" si="1"/>
        <v>0</v>
      </c>
      <c r="J28" s="45"/>
    </row>
    <row r="29" spans="1:10" ht="21.75" customHeight="1" x14ac:dyDescent="0.25">
      <c r="A29" s="48"/>
      <c r="B29" s="48"/>
      <c r="C29" s="49"/>
      <c r="D29" s="49"/>
      <c r="E29" s="49"/>
      <c r="F29" s="49"/>
      <c r="G29" s="49"/>
      <c r="H29" s="49"/>
      <c r="I29" s="50"/>
      <c r="J29" s="48"/>
    </row>
    <row r="30" spans="1:10" ht="25.5" customHeight="1" x14ac:dyDescent="0.25">
      <c r="A30" s="94" t="s">
        <v>181</v>
      </c>
      <c r="B30" s="94"/>
      <c r="C30" s="94"/>
      <c r="D30" s="94"/>
      <c r="E30" s="94"/>
      <c r="F30" s="94"/>
      <c r="G30" s="94"/>
      <c r="H30" s="94"/>
      <c r="I30" s="94"/>
      <c r="J30" s="94"/>
    </row>
    <row r="31" spans="1:10" ht="25.5" customHeight="1" x14ac:dyDescent="0.25">
      <c r="A31" s="91" t="s">
        <v>182</v>
      </c>
      <c r="B31" s="91"/>
      <c r="C31" s="91"/>
      <c r="D31" s="91"/>
      <c r="E31" s="91"/>
      <c r="F31" s="91"/>
      <c r="G31" s="91"/>
      <c r="H31" s="91"/>
      <c r="I31" s="91"/>
      <c r="J31" s="91"/>
    </row>
    <row r="32" spans="1:10" ht="25.5" customHeight="1" x14ac:dyDescent="0.25">
      <c r="A32" s="92" t="s">
        <v>183</v>
      </c>
      <c r="B32" s="92"/>
      <c r="C32" s="92"/>
      <c r="D32" s="92"/>
      <c r="E32" s="92"/>
      <c r="F32" s="92"/>
      <c r="G32" s="92"/>
      <c r="H32" s="92"/>
      <c r="I32" s="92"/>
      <c r="J32" s="92"/>
    </row>
    <row r="33" spans="1:10" ht="21.75" customHeight="1" x14ac:dyDescent="0.25">
      <c r="A33" s="48"/>
      <c r="B33" s="48"/>
      <c r="C33" s="49"/>
      <c r="D33" s="49"/>
      <c r="E33" s="49"/>
      <c r="F33" s="49"/>
      <c r="G33" s="49"/>
      <c r="H33" s="49"/>
      <c r="I33" s="50"/>
      <c r="J33" s="48"/>
    </row>
    <row r="34" spans="1:10" ht="21.75" customHeight="1" x14ac:dyDescent="0.25">
      <c r="A34" s="48"/>
      <c r="B34" s="48"/>
      <c r="C34" s="49"/>
      <c r="D34" s="49"/>
      <c r="E34" s="49"/>
      <c r="F34" s="49"/>
      <c r="G34" s="49"/>
      <c r="H34" s="49"/>
      <c r="I34" s="50"/>
      <c r="J34" s="48"/>
    </row>
    <row r="35" spans="1:10" ht="21.75" customHeight="1" x14ac:dyDescent="0.25">
      <c r="A35" s="48"/>
      <c r="B35" s="48"/>
      <c r="C35" s="49"/>
      <c r="D35" s="49"/>
      <c r="E35" s="49"/>
      <c r="F35" s="49"/>
      <c r="G35" s="49"/>
      <c r="H35" s="49"/>
      <c r="I35" s="50"/>
      <c r="J35" s="48"/>
    </row>
  </sheetData>
  <sheetProtection password="9A87" sheet="1"/>
  <mergeCells count="7">
    <mergeCell ref="A31:J31"/>
    <mergeCell ref="A32:J32"/>
    <mergeCell ref="A1:J1"/>
    <mergeCell ref="C2:D2"/>
    <mergeCell ref="E2:F2"/>
    <mergeCell ref="G2:H2"/>
    <mergeCell ref="A30:J30"/>
  </mergeCells>
  <conditionalFormatting sqref="I4:I28">
    <cfRule type="cellIs" dxfId="11" priority="2" operator="lessThan">
      <formula>0.6</formula>
    </cfRule>
    <cfRule type="expression" dxfId="10" priority="3">
      <formula>AND(I4&gt;=0.6,I4&lt;0.75)</formula>
    </cfRule>
    <cfRule type="cellIs" dxfId="9" priority="4" operator="greaterThanOrEqual">
      <formula>0.75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49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ColWidth="8.7109375" defaultRowHeight="15" x14ac:dyDescent="0.25"/>
  <cols>
    <col min="1" max="1" width="3" customWidth="1"/>
    <col min="2" max="2" width="18" customWidth="1"/>
    <col min="3" max="6" width="15" customWidth="1"/>
    <col min="7" max="7" width="3" customWidth="1"/>
  </cols>
  <sheetData>
    <row r="1" spans="1:7" ht="39.75" customHeight="1" x14ac:dyDescent="0.25">
      <c r="A1" s="3"/>
      <c r="B1" s="95" t="s">
        <v>184</v>
      </c>
      <c r="C1" s="95"/>
      <c r="D1" s="95"/>
      <c r="E1" s="95"/>
      <c r="F1" s="95"/>
      <c r="G1" s="3"/>
    </row>
    <row r="2" spans="1:7" ht="30" customHeight="1" x14ac:dyDescent="0.25">
      <c r="A2" s="3"/>
      <c r="B2" s="51" t="s">
        <v>185</v>
      </c>
      <c r="C2" s="96" t="str">
        <f>TEXT(Simple_Input!$E$1,"DD/MM/YYYY")</f>
        <v>01/04/2025</v>
      </c>
      <c r="D2" s="96"/>
      <c r="E2" s="3"/>
      <c r="F2" s="3"/>
      <c r="G2" s="3"/>
    </row>
    <row r="3" spans="1:7" ht="6" customHeight="1" x14ac:dyDescent="0.25">
      <c r="A3" s="3"/>
      <c r="B3" s="3"/>
      <c r="C3" s="3"/>
      <c r="D3" s="3"/>
      <c r="E3" s="3"/>
      <c r="F3" s="3"/>
      <c r="G3" s="3"/>
    </row>
    <row r="4" spans="1:7" ht="24" customHeight="1" x14ac:dyDescent="0.25">
      <c r="A4" s="3"/>
      <c r="B4" s="1" t="s">
        <v>159</v>
      </c>
      <c r="C4" s="1" t="s">
        <v>186</v>
      </c>
      <c r="D4" s="1" t="s">
        <v>187</v>
      </c>
      <c r="E4" s="1" t="s">
        <v>188</v>
      </c>
      <c r="F4" s="1" t="s">
        <v>189</v>
      </c>
      <c r="G4" s="3"/>
    </row>
    <row r="5" spans="1:7" ht="19.5" customHeight="1" x14ac:dyDescent="0.25">
      <c r="A5" s="3"/>
      <c r="B5" s="52" t="s">
        <v>129</v>
      </c>
      <c r="C5" s="53">
        <f>IFERROR(AVERAGEIFS(OEE_Log_All!$Q:$Q,OEE_Log_All!$A:$A,Simple_Input!$E$1,OEE_Log_All!$C:$C,"FT-81-1"),"")</f>
        <v>1</v>
      </c>
      <c r="D5" s="53">
        <f>IFERROR(AVERAGEIFS(OEE_Log_All!$R:$R,OEE_Log_All!$A:$A,Simple_Input!$E$1,OEE_Log_All!$C:$C,"FT-81-1"),"")</f>
        <v>0</v>
      </c>
      <c r="E5" s="53">
        <f>IFERROR(AVERAGEIFS(OEE_Log_All!$S:$S,OEE_Log_All!$A:$A,Simple_Input!$E$1,OEE_Log_All!$C:$C,"FT-81-1"),"")</f>
        <v>0</v>
      </c>
      <c r="F5" s="53">
        <f>IFERROR(AVERAGEIFS(OEE_Log_All!$T:$T,OEE_Log_All!$A:$A,Simple_Input!$E$1,OEE_Log_All!$C:$C,"FT-81-1"),"")</f>
        <v>0</v>
      </c>
      <c r="G5" s="3"/>
    </row>
    <row r="6" spans="1:7" ht="19.5" customHeight="1" x14ac:dyDescent="0.25">
      <c r="A6" s="3"/>
      <c r="B6" s="52" t="s">
        <v>131</v>
      </c>
      <c r="C6" s="53">
        <f>IFERROR(AVERAGEIFS(OEE_Log_All!$Q:$Q,OEE_Log_All!$A:$A,Simple_Input!$E$1,OEE_Log_All!$C:$C,"FT-81-2"),"")</f>
        <v>1</v>
      </c>
      <c r="D6" s="53">
        <f>IFERROR(AVERAGEIFS(OEE_Log_All!$R:$R,OEE_Log_All!$A:$A,Simple_Input!$E$1,OEE_Log_All!$C:$C,"FT-81-2"),"")</f>
        <v>0</v>
      </c>
      <c r="E6" s="53">
        <f>IFERROR(AVERAGEIFS(OEE_Log_All!$S:$S,OEE_Log_All!$A:$A,Simple_Input!$E$1,OEE_Log_All!$C:$C,"FT-81-2"),"")</f>
        <v>0</v>
      </c>
      <c r="F6" s="53">
        <f>IFERROR(AVERAGEIFS(OEE_Log_All!$T:$T,OEE_Log_All!$A:$A,Simple_Input!$E$1,OEE_Log_All!$C:$C,"FT-81-2"),"")</f>
        <v>0</v>
      </c>
      <c r="G6" s="3"/>
    </row>
    <row r="7" spans="1:7" ht="19.5" customHeight="1" x14ac:dyDescent="0.25">
      <c r="A7" s="3"/>
      <c r="B7" s="52" t="s">
        <v>132</v>
      </c>
      <c r="C7" s="53">
        <f>IFERROR(AVERAGEIFS(OEE_Log_All!$Q:$Q,OEE_Log_All!$A:$A,Simple_Input!$E$1,OEE_Log_All!$C:$C,"FT-81-3"),"")</f>
        <v>1</v>
      </c>
      <c r="D7" s="53">
        <f>IFERROR(AVERAGEIFS(OEE_Log_All!$R:$R,OEE_Log_All!$A:$A,Simple_Input!$E$1,OEE_Log_All!$C:$C,"FT-81-3"),"")</f>
        <v>0</v>
      </c>
      <c r="E7" s="53">
        <f>IFERROR(AVERAGEIFS(OEE_Log_All!$S:$S,OEE_Log_All!$A:$A,Simple_Input!$E$1,OEE_Log_All!$C:$C,"FT-81-3"),"")</f>
        <v>0</v>
      </c>
      <c r="F7" s="53">
        <f>IFERROR(AVERAGEIFS(OEE_Log_All!$T:$T,OEE_Log_All!$A:$A,Simple_Input!$E$1,OEE_Log_All!$C:$C,"FT-81-3"),"")</f>
        <v>0</v>
      </c>
      <c r="G7" s="3"/>
    </row>
    <row r="8" spans="1:7" ht="19.5" customHeight="1" x14ac:dyDescent="0.25">
      <c r="A8" s="3"/>
      <c r="B8" s="52" t="s">
        <v>133</v>
      </c>
      <c r="C8" s="53">
        <f>IFERROR(AVERAGEIFS(OEE_Log_All!$Q:$Q,OEE_Log_All!$A:$A,Simple_Input!$E$1,OEE_Log_All!$C:$C,"FT-81-4"),"")</f>
        <v>1</v>
      </c>
      <c r="D8" s="53">
        <f>IFERROR(AVERAGEIFS(OEE_Log_All!$R:$R,OEE_Log_All!$A:$A,Simple_Input!$E$1,OEE_Log_All!$C:$C,"FT-81-4"),"")</f>
        <v>0</v>
      </c>
      <c r="E8" s="53">
        <f>IFERROR(AVERAGEIFS(OEE_Log_All!$S:$S,OEE_Log_All!$A:$A,Simple_Input!$E$1,OEE_Log_All!$C:$C,"FT-81-4"),"")</f>
        <v>0</v>
      </c>
      <c r="F8" s="53">
        <f>IFERROR(AVERAGEIFS(OEE_Log_All!$T:$T,OEE_Log_All!$A:$A,Simple_Input!$E$1,OEE_Log_All!$C:$C,"FT-81-4"),"")</f>
        <v>0</v>
      </c>
      <c r="G8" s="3"/>
    </row>
    <row r="9" spans="1:7" ht="19.5" customHeight="1" x14ac:dyDescent="0.25">
      <c r="A9" s="3"/>
      <c r="B9" s="54" t="s">
        <v>136</v>
      </c>
      <c r="C9" s="55">
        <f>IFERROR(AVERAGEIFS(OEE_Log_All!$Q:$Q,OEE_Log_All!$A:$A,Simple_Input!$E$1,OEE_Log_All!$C:$C,"LR-PS-UVS"),"")</f>
        <v>1</v>
      </c>
      <c r="D9" s="55">
        <f>IFERROR(AVERAGEIFS(OEE_Log_All!$R:$R,OEE_Log_All!$A:$A,Simple_Input!$E$1,OEE_Log_All!$C:$C,"LR-PS-UVS"),"")</f>
        <v>0</v>
      </c>
      <c r="E9" s="55">
        <f>IFERROR(AVERAGEIFS(OEE_Log_All!$S:$S,OEE_Log_All!$A:$A,Simple_Input!$E$1,OEE_Log_All!$C:$C,"LR-PS-UVS"),"")</f>
        <v>0</v>
      </c>
      <c r="F9" s="55">
        <f>IFERROR(AVERAGEIFS(OEE_Log_All!$T:$T,OEE_Log_All!$A:$A,Simple_Input!$E$1,OEE_Log_All!$C:$C,"LR-PS-UVS"),"")</f>
        <v>0</v>
      </c>
      <c r="G9" s="3"/>
    </row>
    <row r="10" spans="1:7" ht="19.5" customHeight="1" x14ac:dyDescent="0.25">
      <c r="A10" s="3"/>
      <c r="B10" s="54" t="s">
        <v>137</v>
      </c>
      <c r="C10" s="55">
        <f>IFERROR(AVERAGEIFS(OEE_Log_All!$Q:$Q,OEE_Log_All!$A:$A,Simple_Input!$E$1,OEE_Log_All!$C:$C,"LR-PS-VS"),"")</f>
        <v>1</v>
      </c>
      <c r="D10" s="55">
        <f>IFERROR(AVERAGEIFS(OEE_Log_All!$R:$R,OEE_Log_All!$A:$A,Simple_Input!$E$1,OEE_Log_All!$C:$C,"LR-PS-VS"),"")</f>
        <v>0</v>
      </c>
      <c r="E10" s="55">
        <f>IFERROR(AVERAGEIFS(OEE_Log_All!$S:$S,OEE_Log_All!$A:$A,Simple_Input!$E$1,OEE_Log_All!$C:$C,"LR-PS-VS"),"")</f>
        <v>0</v>
      </c>
      <c r="F10" s="55">
        <f>IFERROR(AVERAGEIFS(OEE_Log_All!$T:$T,OEE_Log_All!$A:$A,Simple_Input!$E$1,OEE_Log_All!$C:$C,"LR-PS-VS"),"")</f>
        <v>0</v>
      </c>
      <c r="G10" s="3"/>
    </row>
    <row r="11" spans="1:7" ht="19.5" customHeight="1" x14ac:dyDescent="0.25">
      <c r="A11" s="3"/>
      <c r="B11" s="54" t="s">
        <v>135</v>
      </c>
      <c r="C11" s="55">
        <f>IFERROR(AVERAGEIFS(OEE_Log_All!$Q:$Q,OEE_Log_All!$A:$A,Simple_Input!$E$1,OEE_Log_All!$C:$C,"LR-PS-OV"),"")</f>
        <v>1</v>
      </c>
      <c r="D11" s="55">
        <f>IFERROR(AVERAGEIFS(OEE_Log_All!$R:$R,OEE_Log_All!$A:$A,Simple_Input!$E$1,OEE_Log_All!$C:$C,"LR-PS-OV"),"")</f>
        <v>0</v>
      </c>
      <c r="E11" s="55">
        <f>IFERROR(AVERAGEIFS(OEE_Log_All!$S:$S,OEE_Log_All!$A:$A,Simple_Input!$E$1,OEE_Log_All!$C:$C,"LR-PS-OV"),"")</f>
        <v>0</v>
      </c>
      <c r="F11" s="55">
        <f>IFERROR(AVERAGEIFS(OEE_Log_All!$T:$T,OEE_Log_All!$A:$A,Simple_Input!$E$1,OEE_Log_All!$C:$C,"LR-PS-OV"),"")</f>
        <v>0</v>
      </c>
      <c r="G11" s="3"/>
    </row>
    <row r="12" spans="1:7" ht="19.5" customHeight="1" x14ac:dyDescent="0.25">
      <c r="A12" s="3"/>
      <c r="B12" s="56" t="s">
        <v>141</v>
      </c>
      <c r="C12" s="57">
        <f>IFERROR(AVERAGEIFS(OEE_Log_All!$Q:$Q,OEE_Log_All!$A:$A,Simple_Input!$E$1,OEE_Log_All!$C:$C,"PARAGON+"),"")</f>
        <v>1</v>
      </c>
      <c r="D12" s="57">
        <f>IFERROR(AVERAGEIFS(OEE_Log_All!$R:$R,OEE_Log_All!$A:$A,Simple_Input!$E$1,OEE_Log_All!$C:$C,"PARAGON+"),"")</f>
        <v>0</v>
      </c>
      <c r="E12" s="57">
        <f>IFERROR(AVERAGEIFS(OEE_Log_All!$S:$S,OEE_Log_All!$A:$A,Simple_Input!$E$1,OEE_Log_All!$C:$C,"PARAGON+"),"")</f>
        <v>0</v>
      </c>
      <c r="F12" s="57">
        <f>IFERROR(AVERAGEIFS(OEE_Log_All!$T:$T,OEE_Log_All!$A:$A,Simple_Input!$E$1,OEE_Log_All!$C:$C,"PARAGON+"),"")</f>
        <v>0</v>
      </c>
      <c r="G12" s="3"/>
    </row>
    <row r="13" spans="1:7" ht="19.5" customHeight="1" x14ac:dyDescent="0.25">
      <c r="A13" s="3"/>
      <c r="B13" s="56" t="s">
        <v>142</v>
      </c>
      <c r="C13" s="57">
        <f>IFERROR(AVERAGEIFS(OEE_Log_All!$Q:$Q,OEE_Log_All!$A:$A,Simple_Input!$E$1,OEE_Log_All!$C:$C,"RELIANCE"),"")</f>
        <v>1</v>
      </c>
      <c r="D13" s="57">
        <f>IFERROR(AVERAGEIFS(OEE_Log_All!$R:$R,OEE_Log_All!$A:$A,Simple_Input!$E$1,OEE_Log_All!$C:$C,"RELIANCE"),"")</f>
        <v>0</v>
      </c>
      <c r="E13" s="57">
        <f>IFERROR(AVERAGEIFS(OEE_Log_All!$S:$S,OEE_Log_All!$A:$A,Simple_Input!$E$1,OEE_Log_All!$C:$C,"RELIANCE"),"")</f>
        <v>0</v>
      </c>
      <c r="F13" s="57">
        <f>IFERROR(AVERAGEIFS(OEE_Log_All!$T:$T,OEE_Log_All!$A:$A,Simple_Input!$E$1,OEE_Log_All!$C:$C,"RELIANCE"),"")</f>
        <v>0</v>
      </c>
      <c r="G13" s="3"/>
    </row>
    <row r="14" spans="1:7" ht="19.5" customHeight="1" x14ac:dyDescent="0.25">
      <c r="A14" s="3"/>
      <c r="B14" s="56" t="s">
        <v>139</v>
      </c>
      <c r="C14" s="57">
        <f>IFERROR(AVERAGEIFS(OEE_Log_All!$Q:$Q,OEE_Log_All!$A:$A,Simple_Input!$E$1,OEE_Log_All!$C:$C,"EVEREN"),"")</f>
        <v>1</v>
      </c>
      <c r="D14" s="57">
        <f>IFERROR(AVERAGEIFS(OEE_Log_All!$R:$R,OEE_Log_All!$A:$A,Simple_Input!$E$1,OEE_Log_All!$C:$C,"EVEREN"),"")</f>
        <v>0</v>
      </c>
      <c r="E14" s="57">
        <f>IFERROR(AVERAGEIFS(OEE_Log_All!$S:$S,OEE_Log_All!$A:$A,Simple_Input!$E$1,OEE_Log_All!$C:$C,"EVEREN"),"")</f>
        <v>0</v>
      </c>
      <c r="F14" s="57">
        <f>IFERROR(AVERAGEIFS(OEE_Log_All!$T:$T,OEE_Log_All!$A:$A,Simple_Input!$E$1,OEE_Log_All!$C:$C,"EVEREN"),"")</f>
        <v>0</v>
      </c>
      <c r="G14" s="3"/>
    </row>
    <row r="15" spans="1:7" ht="19.5" customHeight="1" x14ac:dyDescent="0.25">
      <c r="A15" s="3"/>
      <c r="B15" s="58" t="s">
        <v>144</v>
      </c>
      <c r="C15" s="59">
        <f>IFERROR(AVERAGEIFS(OEE_Log_All!$Q:$Q,OEE_Log_All!$A:$A,Simple_Input!$E$1,OEE_Log_All!$C:$C,"TAPE EDGE-1"),"")</f>
        <v>1</v>
      </c>
      <c r="D15" s="59">
        <f>IFERROR(AVERAGEIFS(OEE_Log_All!$R:$R,OEE_Log_All!$A:$A,Simple_Input!$E$1,OEE_Log_All!$C:$C,"TAPE EDGE-1"),"")</f>
        <v>0</v>
      </c>
      <c r="E15" s="59">
        <f>IFERROR(AVERAGEIFS(OEE_Log_All!$S:$S,OEE_Log_All!$A:$A,Simple_Input!$E$1,OEE_Log_All!$C:$C,"TAPE EDGE-1"),"")</f>
        <v>0</v>
      </c>
      <c r="F15" s="59">
        <f>IFERROR(AVERAGEIFS(OEE_Log_All!$T:$T,OEE_Log_All!$A:$A,Simple_Input!$E$1,OEE_Log_All!$C:$C,"TAPE EDGE-1"),"")</f>
        <v>0</v>
      </c>
      <c r="G15" s="3"/>
    </row>
    <row r="16" spans="1:7" ht="19.5" customHeight="1" x14ac:dyDescent="0.25">
      <c r="A16" s="3"/>
      <c r="B16" s="58" t="s">
        <v>146</v>
      </c>
      <c r="C16" s="59">
        <f>IFERROR(AVERAGEIFS(OEE_Log_All!$Q:$Q,OEE_Log_All!$A:$A,Simple_Input!$E$1,OEE_Log_All!$C:$C,"TAPE EDGE-2"),"")</f>
        <v>1</v>
      </c>
      <c r="D16" s="59">
        <f>IFERROR(AVERAGEIFS(OEE_Log_All!$R:$R,OEE_Log_All!$A:$A,Simple_Input!$E$1,OEE_Log_All!$C:$C,"TAPE EDGE-2"),"")</f>
        <v>0</v>
      </c>
      <c r="E16" s="59">
        <f>IFERROR(AVERAGEIFS(OEE_Log_All!$S:$S,OEE_Log_All!$A:$A,Simple_Input!$E$1,OEE_Log_All!$C:$C,"TAPE EDGE-2"),"")</f>
        <v>0</v>
      </c>
      <c r="F16" s="59">
        <f>IFERROR(AVERAGEIFS(OEE_Log_All!$T:$T,OEE_Log_All!$A:$A,Simple_Input!$E$1,OEE_Log_All!$C:$C,"TAPE EDGE-2"),"")</f>
        <v>0</v>
      </c>
      <c r="G16" s="3"/>
    </row>
    <row r="17" spans="1:7" ht="19.5" customHeight="1" x14ac:dyDescent="0.25">
      <c r="A17" s="3"/>
      <c r="B17" s="58" t="s">
        <v>147</v>
      </c>
      <c r="C17" s="59">
        <f>IFERROR(AVERAGEIFS(OEE_Log_All!$Q:$Q,OEE_Log_All!$A:$A,Simple_Input!$E$1,OEE_Log_All!$C:$C,"TAPE EDGE-3"),"")</f>
        <v>1</v>
      </c>
      <c r="D17" s="59">
        <f>IFERROR(AVERAGEIFS(OEE_Log_All!$R:$R,OEE_Log_All!$A:$A,Simple_Input!$E$1,OEE_Log_All!$C:$C,"TAPE EDGE-3"),"")</f>
        <v>0</v>
      </c>
      <c r="E17" s="59">
        <f>IFERROR(AVERAGEIFS(OEE_Log_All!$S:$S,OEE_Log_All!$A:$A,Simple_Input!$E$1,OEE_Log_All!$C:$C,"TAPE EDGE-3"),"")</f>
        <v>0</v>
      </c>
      <c r="F17" s="59">
        <f>IFERROR(AVERAGEIFS(OEE_Log_All!$T:$T,OEE_Log_All!$A:$A,Simple_Input!$E$1,OEE_Log_All!$C:$C,"TAPE EDGE-3"),"")</f>
        <v>0</v>
      </c>
      <c r="G17" s="3"/>
    </row>
    <row r="18" spans="1:7" ht="19.5" customHeight="1" x14ac:dyDescent="0.25">
      <c r="A18" s="3"/>
      <c r="B18" s="58" t="s">
        <v>148</v>
      </c>
      <c r="C18" s="59">
        <f>IFERROR(AVERAGEIFS(OEE_Log_All!$Q:$Q,OEE_Log_All!$A:$A,Simple_Input!$E$1,OEE_Log_All!$C:$C,"TAPE EDGE-4"),"")</f>
        <v>1</v>
      </c>
      <c r="D18" s="59">
        <f>IFERROR(AVERAGEIFS(OEE_Log_All!$R:$R,OEE_Log_All!$A:$A,Simple_Input!$E$1,OEE_Log_All!$C:$C,"TAPE EDGE-4"),"")</f>
        <v>0</v>
      </c>
      <c r="E18" s="59">
        <f>IFERROR(AVERAGEIFS(OEE_Log_All!$S:$S,OEE_Log_All!$A:$A,Simple_Input!$E$1,OEE_Log_All!$C:$C,"TAPE EDGE-4"),"")</f>
        <v>0</v>
      </c>
      <c r="F18" s="59">
        <f>IFERROR(AVERAGEIFS(OEE_Log_All!$T:$T,OEE_Log_All!$A:$A,Simple_Input!$E$1,OEE_Log_All!$C:$C,"TAPE EDGE-4"),"")</f>
        <v>0</v>
      </c>
      <c r="G18" s="3"/>
    </row>
    <row r="19" spans="1:7" ht="19.5" customHeight="1" x14ac:dyDescent="0.25">
      <c r="A19" s="3"/>
      <c r="B19" s="58" t="s">
        <v>149</v>
      </c>
      <c r="C19" s="59">
        <f>IFERROR(AVERAGEIFS(OEE_Log_All!$Q:$Q,OEE_Log_All!$A:$A,Simple_Input!$E$1,OEE_Log_All!$C:$C,"TAPE EDGE-5"),"")</f>
        <v>1</v>
      </c>
      <c r="D19" s="59">
        <f>IFERROR(AVERAGEIFS(OEE_Log_All!$R:$R,OEE_Log_All!$A:$A,Simple_Input!$E$1,OEE_Log_All!$C:$C,"TAPE EDGE-5"),"")</f>
        <v>0</v>
      </c>
      <c r="E19" s="59">
        <f>IFERROR(AVERAGEIFS(OEE_Log_All!$S:$S,OEE_Log_All!$A:$A,Simple_Input!$E$1,OEE_Log_All!$C:$C,"TAPE EDGE-5"),"")</f>
        <v>0</v>
      </c>
      <c r="F19" s="59">
        <f>IFERROR(AVERAGEIFS(OEE_Log_All!$T:$T,OEE_Log_All!$A:$A,Simple_Input!$E$1,OEE_Log_All!$C:$C,"TAPE EDGE-5"),"")</f>
        <v>0</v>
      </c>
      <c r="G19" s="3"/>
    </row>
    <row r="20" spans="1:7" ht="19.5" customHeight="1" x14ac:dyDescent="0.25">
      <c r="A20" s="3"/>
      <c r="B20" s="58" t="s">
        <v>150</v>
      </c>
      <c r="C20" s="59">
        <f>IFERROR(AVERAGEIFS(OEE_Log_All!$Q:$Q,OEE_Log_All!$A:$A,Simple_Input!$E$1,OEE_Log_All!$C:$C,"TAPE EDGE-6"),"")</f>
        <v>1</v>
      </c>
      <c r="D20" s="59">
        <f>IFERROR(AVERAGEIFS(OEE_Log_All!$R:$R,OEE_Log_All!$A:$A,Simple_Input!$E$1,OEE_Log_All!$C:$C,"TAPE EDGE-6"),"")</f>
        <v>0</v>
      </c>
      <c r="E20" s="59">
        <f>IFERROR(AVERAGEIFS(OEE_Log_All!$S:$S,OEE_Log_All!$A:$A,Simple_Input!$E$1,OEE_Log_All!$C:$C,"TAPE EDGE-6"),"")</f>
        <v>0</v>
      </c>
      <c r="F20" s="59">
        <f>IFERROR(AVERAGEIFS(OEE_Log_All!$T:$T,OEE_Log_All!$A:$A,Simple_Input!$E$1,OEE_Log_All!$C:$C,"TAPE EDGE-6"),"")</f>
        <v>0</v>
      </c>
      <c r="G20" s="3"/>
    </row>
    <row r="21" spans="1:7" ht="19.5" customHeight="1" x14ac:dyDescent="0.25">
      <c r="A21" s="3"/>
      <c r="B21" s="58" t="s">
        <v>151</v>
      </c>
      <c r="C21" s="59">
        <f>IFERROR(AVERAGEIFS(OEE_Log_All!$Q:$Q,OEE_Log_All!$A:$A,Simple_Input!$E$1,OEE_Log_All!$C:$C,"TAPE EDGE-7"),"")</f>
        <v>1</v>
      </c>
      <c r="D21" s="59">
        <f>IFERROR(AVERAGEIFS(OEE_Log_All!$R:$R,OEE_Log_All!$A:$A,Simple_Input!$E$1,OEE_Log_All!$C:$C,"TAPE EDGE-7"),"")</f>
        <v>0</v>
      </c>
      <c r="E21" s="59">
        <f>IFERROR(AVERAGEIFS(OEE_Log_All!$S:$S,OEE_Log_All!$A:$A,Simple_Input!$E$1,OEE_Log_All!$C:$C,"TAPE EDGE-7"),"")</f>
        <v>0</v>
      </c>
      <c r="F21" s="59">
        <f>IFERROR(AVERAGEIFS(OEE_Log_All!$T:$T,OEE_Log_All!$A:$A,Simple_Input!$E$1,OEE_Log_All!$C:$C,"TAPE EDGE-7"),"")</f>
        <v>0</v>
      </c>
      <c r="G21" s="3"/>
    </row>
    <row r="22" spans="1:7" ht="19.5" customHeight="1" x14ac:dyDescent="0.25">
      <c r="A22" s="3"/>
      <c r="B22" s="60" t="s">
        <v>153</v>
      </c>
      <c r="C22" s="61">
        <f>IFERROR(AVERAGEIFS(OEE_Log_All!$Q:$Q,OEE_Log_All!$A:$A,Simple_Input!$E$1,OEE_Log_All!$C:$C,"TAPE EDGE -1"),"")</f>
        <v>1</v>
      </c>
      <c r="D22" s="61">
        <f>IFERROR(AVERAGEIFS(OEE_Log_All!$R:$R,OEE_Log_All!$A:$A,Simple_Input!$E$1,OEE_Log_All!$C:$C,"TAPE EDGE -1"),"")</f>
        <v>0</v>
      </c>
      <c r="E22" s="61">
        <f>IFERROR(AVERAGEIFS(OEE_Log_All!$S:$S,OEE_Log_All!$A:$A,Simple_Input!$E$1,OEE_Log_All!$C:$C,"TAPE EDGE -1"),"")</f>
        <v>0</v>
      </c>
      <c r="F22" s="61">
        <f>IFERROR(AVERAGEIFS(OEE_Log_All!$T:$T,OEE_Log_All!$A:$A,Simple_Input!$E$1,OEE_Log_All!$C:$C,"TAPE EDGE -1"),"")</f>
        <v>0</v>
      </c>
      <c r="G22" s="3"/>
    </row>
    <row r="23" spans="1:7" ht="19.5" customHeight="1" x14ac:dyDescent="0.25">
      <c r="A23" s="3"/>
      <c r="B23" s="60" t="s">
        <v>154</v>
      </c>
      <c r="C23" s="61">
        <f>IFERROR(AVERAGEIFS(OEE_Log_All!$Q:$Q,OEE_Log_All!$A:$A,Simple_Input!$E$1,OEE_Log_All!$C:$C,"TAPE EDGE -2"),"")</f>
        <v>1</v>
      </c>
      <c r="D23" s="61">
        <f>IFERROR(AVERAGEIFS(OEE_Log_All!$R:$R,OEE_Log_All!$A:$A,Simple_Input!$E$1,OEE_Log_All!$C:$C,"TAPE EDGE -2"),"")</f>
        <v>0</v>
      </c>
      <c r="E23" s="61">
        <f>IFERROR(AVERAGEIFS(OEE_Log_All!$S:$S,OEE_Log_All!$A:$A,Simple_Input!$E$1,OEE_Log_All!$C:$C,"TAPE EDGE -2"),"")</f>
        <v>0</v>
      </c>
      <c r="F23" s="61">
        <f>IFERROR(AVERAGEIFS(OEE_Log_All!$T:$T,OEE_Log_All!$A:$A,Simple_Input!$E$1,OEE_Log_All!$C:$C,"TAPE EDGE -2"),"")</f>
        <v>0</v>
      </c>
      <c r="G23" s="3"/>
    </row>
    <row r="24" spans="1:7" ht="6" customHeight="1" x14ac:dyDescent="0.25">
      <c r="A24" s="3"/>
      <c r="B24" s="3"/>
      <c r="C24" s="3"/>
      <c r="D24" s="3"/>
      <c r="E24" s="3"/>
      <c r="F24" s="3"/>
      <c r="G24" s="3"/>
    </row>
    <row r="25" spans="1:7" ht="24" customHeight="1" x14ac:dyDescent="0.25">
      <c r="A25" s="3"/>
      <c r="B25" s="97" t="s">
        <v>190</v>
      </c>
      <c r="C25" s="97"/>
      <c r="D25" s="97"/>
      <c r="E25" s="97"/>
      <c r="F25" s="97"/>
      <c r="G25" s="3"/>
    </row>
    <row r="26" spans="1:7" ht="21.75" customHeight="1" x14ac:dyDescent="0.25">
      <c r="A26" s="3"/>
      <c r="B26" s="1" t="s">
        <v>158</v>
      </c>
      <c r="C26" s="1" t="s">
        <v>186</v>
      </c>
      <c r="D26" s="1" t="s">
        <v>187</v>
      </c>
      <c r="E26" s="1" t="s">
        <v>188</v>
      </c>
      <c r="F26" s="1" t="s">
        <v>189</v>
      </c>
      <c r="G26" s="3"/>
    </row>
    <row r="27" spans="1:7" ht="21.75" customHeight="1" x14ac:dyDescent="0.25">
      <c r="A27" s="3"/>
      <c r="B27" s="20" t="s">
        <v>128</v>
      </c>
      <c r="C27" s="53">
        <f>IFERROR(AVERAGE(IFERROR(AVERAGEIFS(OEE_Log_All!$Q:$Q,OEE_Log_All!$A:$A,Simple_Input!$E$1,OEE_Log_All!$C:$C,"FT-81-1"),0),IFERROR(AVERAGEIFS(OEE_Log_All!$Q:$Q,OEE_Log_All!$A:$A,Simple_Input!$E$1,OEE_Log_All!$C:$C,"FT-81-2"),0),IFERROR(AVERAGEIFS(OEE_Log_All!$Q:$Q,OEE_Log_All!$A:$A,Simple_Input!$E$1,OEE_Log_All!$C:$C,"FT-81-3"),0),IFERROR(AVERAGEIFS(OEE_Log_All!$Q:$Q,OEE_Log_All!$A:$A,Simple_Input!$E$1,OEE_Log_All!$C:$C,"FT-81-4"),0)),"")</f>
        <v>1</v>
      </c>
      <c r="D27" s="53">
        <f>IFERROR(AVERAGE(IFERROR(AVERAGEIFS(OEE_Log_All!$R:$R,OEE_Log_All!$A:$A,Simple_Input!$E$1,OEE_Log_All!$C:$C,"FT-81-1"),0),IFERROR(AVERAGEIFS(OEE_Log_All!$R:$R,OEE_Log_All!$A:$A,Simple_Input!$E$1,OEE_Log_All!$C:$C,"FT-81-2"),0),IFERROR(AVERAGEIFS(OEE_Log_All!$R:$R,OEE_Log_All!$A:$A,Simple_Input!$E$1,OEE_Log_All!$C:$C,"FT-81-3"),0),IFERROR(AVERAGEIFS(OEE_Log_All!$R:$R,OEE_Log_All!$A:$A,Simple_Input!$E$1,OEE_Log_All!$C:$C,"FT-81-4"),0)),"")</f>
        <v>0</v>
      </c>
      <c r="E27" s="53">
        <f>IFERROR(AVERAGE(IFERROR(AVERAGEIFS(OEE_Log_All!$S:$S,OEE_Log_All!$A:$A,Simple_Input!$E$1,OEE_Log_All!$C:$C,"FT-81-1"),0),IFERROR(AVERAGEIFS(OEE_Log_All!$S:$S,OEE_Log_All!$A:$A,Simple_Input!$E$1,OEE_Log_All!$C:$C,"FT-81-2"),0),IFERROR(AVERAGEIFS(OEE_Log_All!$S:$S,OEE_Log_All!$A:$A,Simple_Input!$E$1,OEE_Log_All!$C:$C,"FT-81-3"),0),IFERROR(AVERAGEIFS(OEE_Log_All!$S:$S,OEE_Log_All!$A:$A,Simple_Input!$E$1,OEE_Log_All!$C:$C,"FT-81-4"),0)),"")</f>
        <v>0</v>
      </c>
      <c r="F27" s="53">
        <f>IFERROR(AVERAGE(IFERROR(AVERAGEIFS(OEE_Log_All!$T:$T,OEE_Log_All!$A:$A,Simple_Input!$E$1,OEE_Log_All!$C:$C,"FT-81-1"),0),IFERROR(AVERAGEIFS(OEE_Log_All!$T:$T,OEE_Log_All!$A:$A,Simple_Input!$E$1,OEE_Log_All!$C:$C,"FT-81-2"),0),IFERROR(AVERAGEIFS(OEE_Log_All!$T:$T,OEE_Log_All!$A:$A,Simple_Input!$E$1,OEE_Log_All!$C:$C,"FT-81-3"),0),IFERROR(AVERAGEIFS(OEE_Log_All!$T:$T,OEE_Log_All!$A:$A,Simple_Input!$E$1,OEE_Log_All!$C:$C,"FT-81-4"),0)),"")</f>
        <v>0</v>
      </c>
      <c r="G27" s="3"/>
    </row>
    <row r="28" spans="1:7" ht="21.75" customHeight="1" x14ac:dyDescent="0.25">
      <c r="A28" s="3"/>
      <c r="B28" s="63" t="s">
        <v>134</v>
      </c>
      <c r="C28" s="55">
        <f>IFERROR(AVERAGE(IFERROR(AVERAGEIFS(OEE_Log_All!$Q:$Q,OEE_Log_All!$A:$A,Simple_Input!$E$1,OEE_Log_All!$C:$C,"LR-PS-UVS"),0),IFERROR(AVERAGEIFS(OEE_Log_All!$Q:$Q,OEE_Log_All!$A:$A,Simple_Input!$E$1,OEE_Log_All!$C:$C,"LR-PS-VS"),0),IFERROR(AVERAGEIFS(OEE_Log_All!$Q:$Q,OEE_Log_All!$A:$A,Simple_Input!$E$1,OEE_Log_All!$C:$C,"LR-PS-OV"),0)),"")</f>
        <v>1</v>
      </c>
      <c r="D28" s="55">
        <f>IFERROR(AVERAGE(IFERROR(AVERAGEIFS(OEE_Log_All!$R:$R,OEE_Log_All!$A:$A,Simple_Input!$E$1,OEE_Log_All!$C:$C,"LR-PS-UVS"),0),IFERROR(AVERAGEIFS(OEE_Log_All!$R:$R,OEE_Log_All!$A:$A,Simple_Input!$E$1,OEE_Log_All!$C:$C,"LR-PS-VS"),0),IFERROR(AVERAGEIFS(OEE_Log_All!$R:$R,OEE_Log_All!$A:$A,Simple_Input!$E$1,OEE_Log_All!$C:$C,"LR-PS-OV"),0)),"")</f>
        <v>0</v>
      </c>
      <c r="E28" s="55">
        <f>IFERROR(AVERAGE(IFERROR(AVERAGEIFS(OEE_Log_All!$S:$S,OEE_Log_All!$A:$A,Simple_Input!$E$1,OEE_Log_All!$C:$C,"LR-PS-UVS"),0),IFERROR(AVERAGEIFS(OEE_Log_All!$S:$S,OEE_Log_All!$A:$A,Simple_Input!$E$1,OEE_Log_All!$C:$C,"LR-PS-VS"),0),IFERROR(AVERAGEIFS(OEE_Log_All!$S:$S,OEE_Log_All!$A:$A,Simple_Input!$E$1,OEE_Log_All!$C:$C,"LR-PS-OV"),0)),"")</f>
        <v>0</v>
      </c>
      <c r="F28" s="55">
        <f>IFERROR(AVERAGE(IFERROR(AVERAGEIFS(OEE_Log_All!$T:$T,OEE_Log_All!$A:$A,Simple_Input!$E$1,OEE_Log_All!$C:$C,"LR-PS-UVS"),0),IFERROR(AVERAGEIFS(OEE_Log_All!$T:$T,OEE_Log_All!$A:$A,Simple_Input!$E$1,OEE_Log_All!$C:$C,"LR-PS-VS"),0),IFERROR(AVERAGEIFS(OEE_Log_All!$T:$T,OEE_Log_All!$A:$A,Simple_Input!$E$1,OEE_Log_All!$C:$C,"LR-PS-OV"),0)),"")</f>
        <v>0</v>
      </c>
      <c r="G28" s="3"/>
    </row>
    <row r="29" spans="1:7" ht="21.75" customHeight="1" x14ac:dyDescent="0.25">
      <c r="A29" s="3"/>
      <c r="B29" s="25" t="s">
        <v>138</v>
      </c>
      <c r="C29" s="57">
        <f>IFERROR(AVERAGE(IFERROR(AVERAGEIFS(OEE_Log_All!$Q:$Q,OEE_Log_All!$A:$A,Simple_Input!$E$1,OEE_Log_All!$C:$C,"PARAGON+"),0),IFERROR(AVERAGEIFS(OEE_Log_All!$Q:$Q,OEE_Log_All!$A:$A,Simple_Input!$E$1,OEE_Log_All!$C:$C,"RELIANCE"),0),IFERROR(AVERAGEIFS(OEE_Log_All!$Q:$Q,OEE_Log_All!$A:$A,Simple_Input!$E$1,OEE_Log_All!$C:$C,"EVEREN"),0)),"")</f>
        <v>1</v>
      </c>
      <c r="D29" s="57">
        <f>IFERROR(AVERAGE(IFERROR(AVERAGEIFS(OEE_Log_All!$R:$R,OEE_Log_All!$A:$A,Simple_Input!$E$1,OEE_Log_All!$C:$C,"PARAGON+"),0),IFERROR(AVERAGEIFS(OEE_Log_All!$R:$R,OEE_Log_All!$A:$A,Simple_Input!$E$1,OEE_Log_All!$C:$C,"RELIANCE"),0),IFERROR(AVERAGEIFS(OEE_Log_All!$R:$R,OEE_Log_All!$A:$A,Simple_Input!$E$1,OEE_Log_All!$C:$C,"EVEREN"),0)),"")</f>
        <v>0</v>
      </c>
      <c r="E29" s="57">
        <f>IFERROR(AVERAGE(IFERROR(AVERAGEIFS(OEE_Log_All!$S:$S,OEE_Log_All!$A:$A,Simple_Input!$E$1,OEE_Log_All!$C:$C,"PARAGON+"),0),IFERROR(AVERAGEIFS(OEE_Log_All!$S:$S,OEE_Log_All!$A:$A,Simple_Input!$E$1,OEE_Log_All!$C:$C,"RELIANCE"),0),IFERROR(AVERAGEIFS(OEE_Log_All!$S:$S,OEE_Log_All!$A:$A,Simple_Input!$E$1,OEE_Log_All!$C:$C,"EVEREN"),0)),"")</f>
        <v>0</v>
      </c>
      <c r="F29" s="57">
        <f>IFERROR(AVERAGE(IFERROR(AVERAGEIFS(OEE_Log_All!$T:$T,OEE_Log_All!$A:$A,Simple_Input!$E$1,OEE_Log_All!$C:$C,"PARAGON+"),0),IFERROR(AVERAGEIFS(OEE_Log_All!$T:$T,OEE_Log_All!$A:$A,Simple_Input!$E$1,OEE_Log_All!$C:$C,"RELIANCE"),0),IFERROR(AVERAGEIFS(OEE_Log_All!$T:$T,OEE_Log_All!$A:$A,Simple_Input!$E$1,OEE_Log_All!$C:$C,"EVEREN"),0)),"")</f>
        <v>0</v>
      </c>
      <c r="G29" s="3"/>
    </row>
    <row r="30" spans="1:7" ht="21.75" customHeight="1" x14ac:dyDescent="0.25">
      <c r="A30" s="3"/>
      <c r="B30" s="27" t="s">
        <v>143</v>
      </c>
      <c r="C30" s="59">
        <f>IFERROR(AVERAGE(IFERROR(AVERAGEIFS(OEE_Log_All!$Q:$Q,OEE_Log_All!$A:$A,Simple_Input!$E$1,OEE_Log_All!$C:$C,"TAPE EDGE-1"),0),IFERROR(AVERAGEIFS(OEE_Log_All!$Q:$Q,OEE_Log_All!$A:$A,Simple_Input!$E$1,OEE_Log_All!$C:$C,"TAPE EDGE-2"),0),IFERROR(AVERAGEIFS(OEE_Log_All!$Q:$Q,OEE_Log_All!$A:$A,Simple_Input!$E$1,OEE_Log_All!$C:$C,"TAPE EDGE-3"),0),IFERROR(AVERAGEIFS(OEE_Log_All!$Q:$Q,OEE_Log_All!$A:$A,Simple_Input!$E$1,OEE_Log_All!$C:$C,"TAPE EDGE-4"),0),IFERROR(AVERAGEIFS(OEE_Log_All!$Q:$Q,OEE_Log_All!$A:$A,Simple_Input!$E$1,OEE_Log_All!$C:$C,"TAPE EDGE-5"),0),IFERROR(AVERAGEIFS(OEE_Log_All!$Q:$Q,OEE_Log_All!$A:$A,Simple_Input!$E$1,OEE_Log_All!$C:$C,"TAPE EDGE-6"),0),IFERROR(AVERAGEIFS(OEE_Log_All!$Q:$Q,OEE_Log_All!$A:$A,Simple_Input!$E$1,OEE_Log_All!$C:$C,"TAPE EDGE-7"),0)),"")</f>
        <v>1</v>
      </c>
      <c r="D30" s="59">
        <f>IFERROR(AVERAGE(IFERROR(AVERAGEIFS(OEE_Log_All!$R:$R,OEE_Log_All!$A:$A,Simple_Input!$E$1,OEE_Log_All!$C:$C,"TAPE EDGE-1"),0),IFERROR(AVERAGEIFS(OEE_Log_All!$R:$R,OEE_Log_All!$A:$A,Simple_Input!$E$1,OEE_Log_All!$C:$C,"TAPE EDGE-2"),0),IFERROR(AVERAGEIFS(OEE_Log_All!$R:$R,OEE_Log_All!$A:$A,Simple_Input!$E$1,OEE_Log_All!$C:$C,"TAPE EDGE-3"),0),IFERROR(AVERAGEIFS(OEE_Log_All!$R:$R,OEE_Log_All!$A:$A,Simple_Input!$E$1,OEE_Log_All!$C:$C,"TAPE EDGE-4"),0),IFERROR(AVERAGEIFS(OEE_Log_All!$R:$R,OEE_Log_All!$A:$A,Simple_Input!$E$1,OEE_Log_All!$C:$C,"TAPE EDGE-5"),0),IFERROR(AVERAGEIFS(OEE_Log_All!$R:$R,OEE_Log_All!$A:$A,Simple_Input!$E$1,OEE_Log_All!$C:$C,"TAPE EDGE-6"),0),IFERROR(AVERAGEIFS(OEE_Log_All!$R:$R,OEE_Log_All!$A:$A,Simple_Input!$E$1,OEE_Log_All!$C:$C,"TAPE EDGE-7"),0)),"")</f>
        <v>0</v>
      </c>
      <c r="E30" s="59">
        <f>IFERROR(AVERAGE(IFERROR(AVERAGEIFS(OEE_Log_All!$S:$S,OEE_Log_All!$A:$A,Simple_Input!$E$1,OEE_Log_All!$C:$C,"TAPE EDGE-1"),0),IFERROR(AVERAGEIFS(OEE_Log_All!$S:$S,OEE_Log_All!$A:$A,Simple_Input!$E$1,OEE_Log_All!$C:$C,"TAPE EDGE-2"),0),IFERROR(AVERAGEIFS(OEE_Log_All!$S:$S,OEE_Log_All!$A:$A,Simple_Input!$E$1,OEE_Log_All!$C:$C,"TAPE EDGE-3"),0),IFERROR(AVERAGEIFS(OEE_Log_All!$S:$S,OEE_Log_All!$A:$A,Simple_Input!$E$1,OEE_Log_All!$C:$C,"TAPE EDGE-4"),0),IFERROR(AVERAGEIFS(OEE_Log_All!$S:$S,OEE_Log_All!$A:$A,Simple_Input!$E$1,OEE_Log_All!$C:$C,"TAPE EDGE-5"),0),IFERROR(AVERAGEIFS(OEE_Log_All!$S:$S,OEE_Log_All!$A:$A,Simple_Input!$E$1,OEE_Log_All!$C:$C,"TAPE EDGE-6"),0),IFERROR(AVERAGEIFS(OEE_Log_All!$S:$S,OEE_Log_All!$A:$A,Simple_Input!$E$1,OEE_Log_All!$C:$C,"TAPE EDGE-7"),0)),"")</f>
        <v>0</v>
      </c>
      <c r="F30" s="59">
        <f>IFERROR(AVERAGE(IFERROR(AVERAGEIFS(OEE_Log_All!$T:$T,OEE_Log_All!$A:$A,Simple_Input!$E$1,OEE_Log_All!$C:$C,"TAPE EDGE-1"),0),IFERROR(AVERAGEIFS(OEE_Log_All!$T:$T,OEE_Log_All!$A:$A,Simple_Input!$E$1,OEE_Log_All!$C:$C,"TAPE EDGE-2"),0),IFERROR(AVERAGEIFS(OEE_Log_All!$T:$T,OEE_Log_All!$A:$A,Simple_Input!$E$1,OEE_Log_All!$C:$C,"TAPE EDGE-3"),0),IFERROR(AVERAGEIFS(OEE_Log_All!$T:$T,OEE_Log_All!$A:$A,Simple_Input!$E$1,OEE_Log_All!$C:$C,"TAPE EDGE-4"),0),IFERROR(AVERAGEIFS(OEE_Log_All!$T:$T,OEE_Log_All!$A:$A,Simple_Input!$E$1,OEE_Log_All!$C:$C,"TAPE EDGE-5"),0),IFERROR(AVERAGEIFS(OEE_Log_All!$T:$T,OEE_Log_All!$A:$A,Simple_Input!$E$1,OEE_Log_All!$C:$C,"TAPE EDGE-6"),0),IFERROR(AVERAGEIFS(OEE_Log_All!$T:$T,OEE_Log_All!$A:$A,Simple_Input!$E$1,OEE_Log_All!$C:$C,"TAPE EDGE-7"),0)),"")</f>
        <v>0</v>
      </c>
      <c r="G30" s="3"/>
    </row>
    <row r="31" spans="1:7" ht="21.75" customHeight="1" x14ac:dyDescent="0.25">
      <c r="A31" s="3"/>
      <c r="B31" s="29" t="s">
        <v>152</v>
      </c>
      <c r="C31" s="61">
        <f>IFERROR(AVERAGE(IFERROR(AVERAGEIFS(OEE_Log_All!$Q:$Q,OEE_Log_All!$A:$A,Simple_Input!$E$1,OEE_Log_All!$C:$C,"TAPE EDGE -1"),0),IFERROR(AVERAGEIFS(OEE_Log_All!$Q:$Q,OEE_Log_All!$A:$A,Simple_Input!$E$1,OEE_Log_All!$C:$C,"TAPE EDGE -2"),0)),"")</f>
        <v>1</v>
      </c>
      <c r="D31" s="61">
        <f>IFERROR(AVERAGE(IFERROR(AVERAGEIFS(OEE_Log_All!$R:$R,OEE_Log_All!$A:$A,Simple_Input!$E$1,OEE_Log_All!$C:$C,"TAPE EDGE -1"),0),IFERROR(AVERAGEIFS(OEE_Log_All!$R:$R,OEE_Log_All!$A:$A,Simple_Input!$E$1,OEE_Log_All!$C:$C,"TAPE EDGE -2"),0)),"")</f>
        <v>0</v>
      </c>
      <c r="E31" s="61">
        <f>IFERROR(AVERAGE(IFERROR(AVERAGEIFS(OEE_Log_All!$S:$S,OEE_Log_All!$A:$A,Simple_Input!$E$1,OEE_Log_All!$C:$C,"TAPE EDGE -1"),0),IFERROR(AVERAGEIFS(OEE_Log_All!$S:$S,OEE_Log_All!$A:$A,Simple_Input!$E$1,OEE_Log_All!$C:$C,"TAPE EDGE -2"),0)),"")</f>
        <v>0</v>
      </c>
      <c r="F31" s="61">
        <f>IFERROR(AVERAGE(IFERROR(AVERAGEIFS(OEE_Log_All!$T:$T,OEE_Log_All!$A:$A,Simple_Input!$E$1,OEE_Log_All!$C:$C,"TAPE EDGE -1"),0),IFERROR(AVERAGEIFS(OEE_Log_All!$T:$T,OEE_Log_All!$A:$A,Simple_Input!$E$1,OEE_Log_All!$C:$C,"TAPE EDGE -2"),0)),"")</f>
        <v>0</v>
      </c>
      <c r="G31" s="3"/>
    </row>
    <row r="32" spans="1:7" ht="7.5" customHeight="1" x14ac:dyDescent="0.25">
      <c r="A32" s="3"/>
      <c r="B32" s="3"/>
      <c r="C32" s="3"/>
      <c r="D32" s="3"/>
      <c r="E32" s="3"/>
      <c r="F32" s="3"/>
      <c r="G32" s="3"/>
    </row>
    <row r="33" spans="1:7" ht="25.5" customHeight="1" x14ac:dyDescent="0.25">
      <c r="A33" s="3"/>
      <c r="B33" s="82" t="s">
        <v>181</v>
      </c>
      <c r="C33" s="82"/>
      <c r="D33" s="82"/>
      <c r="E33" s="82"/>
      <c r="F33" s="82"/>
      <c r="G33" s="3"/>
    </row>
    <row r="34" spans="1:7" ht="25.5" customHeight="1" x14ac:dyDescent="0.25">
      <c r="A34" s="3"/>
      <c r="B34" s="79" t="s">
        <v>182</v>
      </c>
      <c r="C34" s="79"/>
      <c r="D34" s="79"/>
      <c r="E34" s="79"/>
      <c r="F34" s="79"/>
      <c r="G34" s="3"/>
    </row>
    <row r="35" spans="1:7" ht="25.5" customHeight="1" x14ac:dyDescent="0.25">
      <c r="A35" s="3"/>
      <c r="B35" s="80" t="s">
        <v>183</v>
      </c>
      <c r="C35" s="80"/>
      <c r="D35" s="80"/>
      <c r="E35" s="80"/>
      <c r="F35" s="80"/>
      <c r="G35" s="3"/>
    </row>
    <row r="36" spans="1:7" ht="15" customHeight="1" x14ac:dyDescent="0.25">
      <c r="A36" s="3"/>
      <c r="B36" s="3"/>
      <c r="C36" s="3"/>
      <c r="D36" s="3"/>
      <c r="E36" s="3"/>
      <c r="F36" s="3"/>
      <c r="G36" s="3"/>
    </row>
    <row r="37" spans="1:7" ht="15" customHeight="1" x14ac:dyDescent="0.25">
      <c r="A37" s="3"/>
      <c r="B37" s="3"/>
      <c r="C37" s="3"/>
      <c r="D37" s="3"/>
      <c r="E37" s="3"/>
      <c r="F37" s="3"/>
      <c r="G37" s="3"/>
    </row>
    <row r="38" spans="1:7" ht="15" customHeight="1" x14ac:dyDescent="0.25">
      <c r="A38" s="3"/>
      <c r="B38" s="3"/>
      <c r="C38" s="3"/>
      <c r="D38" s="3"/>
      <c r="E38" s="3"/>
      <c r="F38" s="3"/>
      <c r="G38" s="3"/>
    </row>
    <row r="39" spans="1:7" ht="15" customHeight="1" x14ac:dyDescent="0.25">
      <c r="A39" s="3"/>
      <c r="B39" s="3"/>
      <c r="C39" s="3"/>
      <c r="D39" s="3"/>
      <c r="E39" s="3"/>
      <c r="F39" s="3"/>
      <c r="G39" s="3"/>
    </row>
    <row r="40" spans="1:7" ht="15" customHeight="1" x14ac:dyDescent="0.25">
      <c r="A40" s="3"/>
      <c r="B40" s="3"/>
      <c r="C40" s="3"/>
      <c r="D40" s="3"/>
      <c r="E40" s="3"/>
      <c r="F40" s="3"/>
      <c r="G40" s="3"/>
    </row>
    <row r="41" spans="1:7" ht="15" customHeight="1" x14ac:dyDescent="0.25">
      <c r="A41" s="3"/>
      <c r="B41" s="3"/>
      <c r="C41" s="3"/>
      <c r="D41" s="3"/>
      <c r="E41" s="3"/>
      <c r="F41" s="3"/>
      <c r="G41" s="3"/>
    </row>
    <row r="42" spans="1:7" ht="15" customHeight="1" x14ac:dyDescent="0.25">
      <c r="A42" s="3"/>
      <c r="B42" s="3"/>
      <c r="C42" s="3"/>
      <c r="D42" s="3"/>
      <c r="E42" s="3"/>
      <c r="F42" s="3"/>
      <c r="G42" s="3"/>
    </row>
    <row r="43" spans="1:7" ht="15" customHeight="1" x14ac:dyDescent="0.25">
      <c r="A43" s="3"/>
      <c r="B43" s="3"/>
      <c r="C43" s="3"/>
      <c r="D43" s="3"/>
      <c r="E43" s="3"/>
      <c r="F43" s="3"/>
      <c r="G43" s="3"/>
    </row>
    <row r="44" spans="1:7" ht="15" customHeight="1" x14ac:dyDescent="0.25">
      <c r="A44" s="3"/>
      <c r="B44" s="3"/>
      <c r="C44" s="3"/>
      <c r="D44" s="3"/>
      <c r="E44" s="3"/>
      <c r="F44" s="3"/>
      <c r="G44" s="3"/>
    </row>
    <row r="45" spans="1:7" ht="15" customHeight="1" x14ac:dyDescent="0.25">
      <c r="A45" s="3"/>
      <c r="B45" s="3"/>
      <c r="C45" s="3"/>
      <c r="D45" s="3"/>
      <c r="E45" s="3"/>
      <c r="F45" s="3"/>
      <c r="G45" s="3"/>
    </row>
    <row r="46" spans="1:7" ht="15" customHeight="1" x14ac:dyDescent="0.25">
      <c r="A46" s="3"/>
      <c r="B46" s="3"/>
      <c r="C46" s="3"/>
      <c r="D46" s="3"/>
      <c r="E46" s="3"/>
      <c r="F46" s="3"/>
      <c r="G46" s="3"/>
    </row>
    <row r="47" spans="1:7" ht="15" customHeight="1" x14ac:dyDescent="0.25">
      <c r="A47" s="3"/>
      <c r="B47" s="3"/>
      <c r="C47" s="3"/>
      <c r="D47" s="3"/>
      <c r="E47" s="3"/>
      <c r="F47" s="3"/>
      <c r="G47" s="3"/>
    </row>
    <row r="48" spans="1:7" ht="15" customHeight="1" x14ac:dyDescent="0.25">
      <c r="A48" s="3"/>
      <c r="B48" s="3"/>
      <c r="C48" s="3"/>
      <c r="D48" s="3"/>
      <c r="E48" s="3"/>
      <c r="F48" s="3"/>
      <c r="G48" s="3"/>
    </row>
    <row r="49" spans="1:7" ht="15" customHeight="1" x14ac:dyDescent="0.25">
      <c r="A49" s="3"/>
      <c r="B49" s="3"/>
      <c r="C49" s="3"/>
      <c r="D49" s="3"/>
      <c r="E49" s="3"/>
      <c r="F49" s="3"/>
      <c r="G49" s="3"/>
    </row>
  </sheetData>
  <sheetProtection password="9A87" sheet="1"/>
  <mergeCells count="6">
    <mergeCell ref="B35:F35"/>
    <mergeCell ref="B1:F1"/>
    <mergeCell ref="C2:D2"/>
    <mergeCell ref="B25:F25"/>
    <mergeCell ref="B33:F33"/>
    <mergeCell ref="B34:F34"/>
  </mergeCells>
  <conditionalFormatting sqref="C5:F23">
    <cfRule type="cellIs" dxfId="8" priority="2" operator="lessThan">
      <formula>0.6</formula>
    </cfRule>
    <cfRule type="expression" dxfId="7" priority="3">
      <formula>AND(C5&gt;=0.6,C5&lt;0.75)</formula>
    </cfRule>
    <cfRule type="cellIs" dxfId="6" priority="4" operator="greaterThanOrEqual">
      <formula>0.75</formula>
    </cfRule>
  </conditionalFormatting>
  <conditionalFormatting sqref="C27:F31">
    <cfRule type="cellIs" dxfId="5" priority="5" operator="lessThan">
      <formula>0.6</formula>
    </cfRule>
    <cfRule type="expression" dxfId="4" priority="6">
      <formula>AND(C27&gt;=0.6,C27&lt;0.75)</formula>
    </cfRule>
    <cfRule type="cellIs" dxfId="3" priority="7" operator="greaterThanOrEqual">
      <formula>0.75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U39"/>
  <sheetViews>
    <sheetView topLeftCell="C1" zoomScaleNormal="100" workbookViewId="0">
      <pane ySplit="1" topLeftCell="A2" activePane="bottomLeft" state="frozen"/>
      <selection pane="bottomLeft" activeCell="U8" sqref="U8"/>
    </sheetView>
  </sheetViews>
  <sheetFormatPr defaultColWidth="8.7109375" defaultRowHeight="15" x14ac:dyDescent="0.25"/>
  <cols>
    <col min="1" max="21" width="14" customWidth="1"/>
  </cols>
  <sheetData>
    <row r="1" spans="1:21" ht="36" customHeight="1" x14ac:dyDescent="0.25">
      <c r="A1" s="64" t="s">
        <v>191</v>
      </c>
      <c r="B1" s="64" t="s">
        <v>120</v>
      </c>
      <c r="C1" s="64" t="s">
        <v>121</v>
      </c>
      <c r="D1" s="64" t="s">
        <v>192</v>
      </c>
      <c r="E1" s="64" t="s">
        <v>193</v>
      </c>
      <c r="F1" s="64" t="s">
        <v>194</v>
      </c>
      <c r="G1" s="64" t="s">
        <v>195</v>
      </c>
      <c r="H1" s="64" t="s">
        <v>196</v>
      </c>
      <c r="I1" s="64" t="s">
        <v>197</v>
      </c>
      <c r="J1" s="64" t="s">
        <v>198</v>
      </c>
      <c r="K1" s="64" t="s">
        <v>199</v>
      </c>
      <c r="L1" s="64" t="s">
        <v>123</v>
      </c>
      <c r="M1" s="64" t="s">
        <v>200</v>
      </c>
      <c r="N1" s="64" t="s">
        <v>201</v>
      </c>
      <c r="O1" s="64" t="s">
        <v>202</v>
      </c>
      <c r="P1" s="64" t="s">
        <v>203</v>
      </c>
      <c r="Q1" s="64" t="s">
        <v>204</v>
      </c>
      <c r="R1" s="64" t="s">
        <v>205</v>
      </c>
      <c r="S1" s="64" t="s">
        <v>206</v>
      </c>
      <c r="T1" s="64" t="s">
        <v>189</v>
      </c>
      <c r="U1" s="64" t="s">
        <v>207</v>
      </c>
    </row>
    <row r="2" spans="1:21" ht="18" customHeight="1" x14ac:dyDescent="0.25">
      <c r="A2" s="65">
        <f>Simple_Input!$E$1</f>
        <v>45748</v>
      </c>
      <c r="B2" s="66" t="str">
        <f>Simple_Input!A3</f>
        <v>BONNELL</v>
      </c>
      <c r="C2" s="66" t="str">
        <f>Simple_Input!B3</f>
        <v>FT-81-1</v>
      </c>
      <c r="D2" s="66" t="str">
        <f>Simple_Input!C3</f>
        <v>Day</v>
      </c>
      <c r="E2" s="66">
        <f>INDEX(Machine_Master!$E:$E,MATCH(C2,Machine_Master!$B:$B,0))</f>
        <v>8</v>
      </c>
      <c r="F2" s="66">
        <f>INDEX(Machine_Master!$F:$F,MATCH(C2,Machine_Master!$B:$B,0))</f>
        <v>0.5</v>
      </c>
      <c r="G2" s="67">
        <f>Simple_Input!F3</f>
        <v>0</v>
      </c>
      <c r="H2" s="67">
        <f>Simple_Input!G3</f>
        <v>0</v>
      </c>
      <c r="I2" s="67">
        <f>Simple_Input!H3</f>
        <v>0</v>
      </c>
      <c r="J2" s="66">
        <f t="shared" ref="J2:J39" si="0">E2-F2</f>
        <v>7.5</v>
      </c>
      <c r="K2" s="66">
        <f t="shared" ref="K2:K39" si="1">MAX(0,J2-(G2+H2+I2))</f>
        <v>7.5</v>
      </c>
      <c r="L2" s="66">
        <f>INDEX(Machine_Master!$D:$D,MATCH(C2,Machine_Master!$B:$B,0))</f>
        <v>12.5</v>
      </c>
      <c r="M2" s="66">
        <f t="shared" ref="M2:M39" si="2">L2*K2</f>
        <v>93.75</v>
      </c>
      <c r="N2" s="68"/>
      <c r="O2" s="68"/>
      <c r="P2" s="66"/>
      <c r="Q2" s="69">
        <f t="shared" ref="Q2:Q39" si="3">IFERROR(K2/J2,0)</f>
        <v>1</v>
      </c>
      <c r="R2" s="69">
        <f t="shared" ref="R2:R39" si="4">IFERROR(N2/M2,0)</f>
        <v>0</v>
      </c>
      <c r="S2" s="69">
        <f t="shared" ref="S2:S39" si="5">IFERROR(P2/N2,0)</f>
        <v>0</v>
      </c>
      <c r="T2" s="69">
        <f t="shared" ref="T2:T39" si="6">Q2*R2*S2</f>
        <v>0</v>
      </c>
      <c r="U2" s="66"/>
    </row>
    <row r="3" spans="1:21" ht="18" customHeight="1" x14ac:dyDescent="0.25">
      <c r="A3" s="65">
        <f>Simple_Input!$E$1</f>
        <v>45748</v>
      </c>
      <c r="B3" s="66" t="str">
        <f>Simple_Input!A4</f>
        <v>BONNELL</v>
      </c>
      <c r="C3" s="66" t="str">
        <f>Simple_Input!B4</f>
        <v>FT-81-2</v>
      </c>
      <c r="D3" s="66" t="str">
        <f>Simple_Input!C4</f>
        <v>Day</v>
      </c>
      <c r="E3" s="66">
        <f>INDEX(Machine_Master!$E:$E,MATCH(C3,Machine_Master!$B:$B,0))</f>
        <v>8</v>
      </c>
      <c r="F3" s="66">
        <f>INDEX(Machine_Master!$F:$F,MATCH(C3,Machine_Master!$B:$B,0))</f>
        <v>0.5</v>
      </c>
      <c r="G3" s="67">
        <f>Simple_Input!F4</f>
        <v>0</v>
      </c>
      <c r="H3" s="67">
        <f>Simple_Input!G4</f>
        <v>0</v>
      </c>
      <c r="I3" s="67">
        <f>Simple_Input!H4</f>
        <v>0</v>
      </c>
      <c r="J3" s="66">
        <f t="shared" si="0"/>
        <v>7.5</v>
      </c>
      <c r="K3" s="66">
        <f t="shared" si="1"/>
        <v>7.5</v>
      </c>
      <c r="L3" s="66">
        <f>INDEX(Machine_Master!$D:$D,MATCH(C3,Machine_Master!$B:$B,0))</f>
        <v>12.5</v>
      </c>
      <c r="M3" s="66">
        <f t="shared" si="2"/>
        <v>93.75</v>
      </c>
      <c r="N3" s="68"/>
      <c r="O3" s="68"/>
      <c r="P3" s="66"/>
      <c r="Q3" s="69">
        <f t="shared" si="3"/>
        <v>1</v>
      </c>
      <c r="R3" s="69">
        <f t="shared" si="4"/>
        <v>0</v>
      </c>
      <c r="S3" s="69">
        <f t="shared" si="5"/>
        <v>0</v>
      </c>
      <c r="T3" s="69">
        <f t="shared" si="6"/>
        <v>0</v>
      </c>
      <c r="U3" s="66"/>
    </row>
    <row r="4" spans="1:21" ht="18" customHeight="1" x14ac:dyDescent="0.25">
      <c r="A4" s="65">
        <f>Simple_Input!$E$1</f>
        <v>45748</v>
      </c>
      <c r="B4" s="66" t="str">
        <f>Simple_Input!A5</f>
        <v>BONNELL</v>
      </c>
      <c r="C4" s="66" t="str">
        <f>Simple_Input!B5</f>
        <v>FT-81-3</v>
      </c>
      <c r="D4" s="66" t="str">
        <f>Simple_Input!C5</f>
        <v>Day</v>
      </c>
      <c r="E4" s="66">
        <f>INDEX(Machine_Master!$E:$E,MATCH(C4,Machine_Master!$B:$B,0))</f>
        <v>8</v>
      </c>
      <c r="F4" s="66">
        <f>INDEX(Machine_Master!$F:$F,MATCH(C4,Machine_Master!$B:$B,0))</f>
        <v>0.5</v>
      </c>
      <c r="G4" s="67">
        <f>Simple_Input!F5</f>
        <v>0</v>
      </c>
      <c r="H4" s="67">
        <f>Simple_Input!G5</f>
        <v>0</v>
      </c>
      <c r="I4" s="67">
        <f>Simple_Input!H5</f>
        <v>0</v>
      </c>
      <c r="J4" s="66">
        <f t="shared" si="0"/>
        <v>7.5</v>
      </c>
      <c r="K4" s="66">
        <f t="shared" si="1"/>
        <v>7.5</v>
      </c>
      <c r="L4" s="66">
        <f>INDEX(Machine_Master!$D:$D,MATCH(C4,Machine_Master!$B:$B,0))</f>
        <v>12.5</v>
      </c>
      <c r="M4" s="66">
        <f t="shared" si="2"/>
        <v>93.75</v>
      </c>
      <c r="N4" s="68"/>
      <c r="O4" s="68"/>
      <c r="P4" s="66"/>
      <c r="Q4" s="69">
        <f t="shared" si="3"/>
        <v>1</v>
      </c>
      <c r="R4" s="69">
        <f t="shared" si="4"/>
        <v>0</v>
      </c>
      <c r="S4" s="69">
        <f t="shared" si="5"/>
        <v>0</v>
      </c>
      <c r="T4" s="69">
        <f t="shared" si="6"/>
        <v>0</v>
      </c>
      <c r="U4" s="66"/>
    </row>
    <row r="5" spans="1:21" ht="18" customHeight="1" x14ac:dyDescent="0.25">
      <c r="A5" s="65">
        <f>Simple_Input!$E$1</f>
        <v>45748</v>
      </c>
      <c r="B5" s="66" t="str">
        <f>Simple_Input!A6</f>
        <v>BONNELL</v>
      </c>
      <c r="C5" s="66" t="str">
        <f>Simple_Input!B6</f>
        <v>FT-81-4</v>
      </c>
      <c r="D5" s="66" t="str">
        <f>Simple_Input!C6</f>
        <v>Day</v>
      </c>
      <c r="E5" s="66">
        <f>INDEX(Machine_Master!$E:$E,MATCH(C5,Machine_Master!$B:$B,0))</f>
        <v>8</v>
      </c>
      <c r="F5" s="66">
        <f>INDEX(Machine_Master!$F:$F,MATCH(C5,Machine_Master!$B:$B,0))</f>
        <v>0.5</v>
      </c>
      <c r="G5" s="67">
        <f>Simple_Input!F6</f>
        <v>0</v>
      </c>
      <c r="H5" s="67">
        <f>Simple_Input!G6</f>
        <v>0</v>
      </c>
      <c r="I5" s="67">
        <f>Simple_Input!H6</f>
        <v>0</v>
      </c>
      <c r="J5" s="66">
        <f t="shared" si="0"/>
        <v>7.5</v>
      </c>
      <c r="K5" s="66">
        <f t="shared" si="1"/>
        <v>7.5</v>
      </c>
      <c r="L5" s="66">
        <f>INDEX(Machine_Master!$D:$D,MATCH(C5,Machine_Master!$B:$B,0))</f>
        <v>12.5</v>
      </c>
      <c r="M5" s="66">
        <f t="shared" si="2"/>
        <v>93.75</v>
      </c>
      <c r="N5" s="68"/>
      <c r="O5" s="68"/>
      <c r="P5" s="66"/>
      <c r="Q5" s="69">
        <f t="shared" si="3"/>
        <v>1</v>
      </c>
      <c r="R5" s="69">
        <f t="shared" si="4"/>
        <v>0</v>
      </c>
      <c r="S5" s="69">
        <f t="shared" si="5"/>
        <v>0</v>
      </c>
      <c r="T5" s="69">
        <f t="shared" si="6"/>
        <v>0</v>
      </c>
      <c r="U5" s="66"/>
    </row>
    <row r="6" spans="1:21" ht="18" customHeight="1" x14ac:dyDescent="0.25">
      <c r="A6" s="65">
        <f>Simple_Input!$E$1</f>
        <v>45748</v>
      </c>
      <c r="B6" s="66" t="str">
        <f>Simple_Input!A7</f>
        <v>POCKETED</v>
      </c>
      <c r="C6" s="66" t="str">
        <f>Simple_Input!B7</f>
        <v>LR-PS-UVS</v>
      </c>
      <c r="D6" s="66" t="str">
        <f>Simple_Input!C7</f>
        <v>Day</v>
      </c>
      <c r="E6" s="66">
        <f>INDEX(Machine_Master!$E:$E,MATCH(C6,Machine_Master!$B:$B,0))</f>
        <v>8</v>
      </c>
      <c r="F6" s="66">
        <f>INDEX(Machine_Master!$F:$F,MATCH(C6,Machine_Master!$B:$B,0))</f>
        <v>0.5</v>
      </c>
      <c r="G6" s="67">
        <f>Simple_Input!F7</f>
        <v>0</v>
      </c>
      <c r="H6" s="67">
        <f>Simple_Input!G7</f>
        <v>0</v>
      </c>
      <c r="I6" s="67">
        <f>Simple_Input!H7</f>
        <v>0</v>
      </c>
      <c r="J6" s="66">
        <f t="shared" si="0"/>
        <v>7.5</v>
      </c>
      <c r="K6" s="66">
        <f t="shared" si="1"/>
        <v>7.5</v>
      </c>
      <c r="L6" s="66">
        <f>INDEX(Machine_Master!$D:$D,MATCH(C6,Machine_Master!$B:$B,0))</f>
        <v>13.5</v>
      </c>
      <c r="M6" s="66">
        <f t="shared" si="2"/>
        <v>101.25</v>
      </c>
      <c r="N6" s="68"/>
      <c r="O6" s="68"/>
      <c r="P6" s="66"/>
      <c r="Q6" s="69">
        <f t="shared" si="3"/>
        <v>1</v>
      </c>
      <c r="R6" s="69">
        <f t="shared" si="4"/>
        <v>0</v>
      </c>
      <c r="S6" s="69">
        <f t="shared" si="5"/>
        <v>0</v>
      </c>
      <c r="T6" s="69">
        <f t="shared" si="6"/>
        <v>0</v>
      </c>
      <c r="U6" s="66"/>
    </row>
    <row r="7" spans="1:21" ht="18" customHeight="1" x14ac:dyDescent="0.25">
      <c r="A7" s="65">
        <f>Simple_Input!$E$1</f>
        <v>45748</v>
      </c>
      <c r="B7" s="66" t="str">
        <f>Simple_Input!A8</f>
        <v>POCKETED</v>
      </c>
      <c r="C7" s="66" t="str">
        <f>Simple_Input!B8</f>
        <v>LR-PS-VS</v>
      </c>
      <c r="D7" s="66" t="str">
        <f>Simple_Input!C8</f>
        <v>Day</v>
      </c>
      <c r="E7" s="66">
        <f>INDEX(Machine_Master!$E:$E,MATCH(C7,Machine_Master!$B:$B,0))</f>
        <v>8</v>
      </c>
      <c r="F7" s="66">
        <f>INDEX(Machine_Master!$F:$F,MATCH(C7,Machine_Master!$B:$B,0))</f>
        <v>0.5</v>
      </c>
      <c r="G7" s="67">
        <f>Simple_Input!F8</f>
        <v>0</v>
      </c>
      <c r="H7" s="67">
        <f>Simple_Input!G8</f>
        <v>0</v>
      </c>
      <c r="I7" s="67">
        <f>Simple_Input!H8</f>
        <v>0</v>
      </c>
      <c r="J7" s="66">
        <f t="shared" si="0"/>
        <v>7.5</v>
      </c>
      <c r="K7" s="66">
        <f t="shared" si="1"/>
        <v>7.5</v>
      </c>
      <c r="L7" s="66">
        <f>INDEX(Machine_Master!$D:$D,MATCH(C7,Machine_Master!$B:$B,0))</f>
        <v>9</v>
      </c>
      <c r="M7" s="66">
        <f t="shared" si="2"/>
        <v>67.5</v>
      </c>
      <c r="N7" s="68"/>
      <c r="O7" s="68"/>
      <c r="P7" s="66"/>
      <c r="Q7" s="69">
        <f t="shared" si="3"/>
        <v>1</v>
      </c>
      <c r="R7" s="69">
        <f t="shared" si="4"/>
        <v>0</v>
      </c>
      <c r="S7" s="69">
        <f t="shared" si="5"/>
        <v>0</v>
      </c>
      <c r="T7" s="69">
        <f t="shared" si="6"/>
        <v>0</v>
      </c>
      <c r="U7" s="66"/>
    </row>
    <row r="8" spans="1:21" ht="18" customHeight="1" x14ac:dyDescent="0.25">
      <c r="A8" s="65">
        <f>Simple_Input!$E$1</f>
        <v>45748</v>
      </c>
      <c r="B8" s="66" t="str">
        <f>Simple_Input!A9</f>
        <v>POCKETED</v>
      </c>
      <c r="C8" s="66" t="str">
        <f>Simple_Input!B9</f>
        <v>LR-PS-OV</v>
      </c>
      <c r="D8" s="66" t="str">
        <f>Simple_Input!C9</f>
        <v>Day</v>
      </c>
      <c r="E8" s="66">
        <f>INDEX(Machine_Master!$E:$E,MATCH(C8,Machine_Master!$B:$B,0))</f>
        <v>8</v>
      </c>
      <c r="F8" s="66">
        <f>INDEX(Machine_Master!$F:$F,MATCH(C8,Machine_Master!$B:$B,0))</f>
        <v>0.5</v>
      </c>
      <c r="G8" s="67">
        <f>Simple_Input!F9</f>
        <v>0</v>
      </c>
      <c r="H8" s="67">
        <f>Simple_Input!G9</f>
        <v>0</v>
      </c>
      <c r="I8" s="67">
        <f>Simple_Input!H9</f>
        <v>0</v>
      </c>
      <c r="J8" s="66">
        <f t="shared" si="0"/>
        <v>7.5</v>
      </c>
      <c r="K8" s="66">
        <f t="shared" si="1"/>
        <v>7.5</v>
      </c>
      <c r="L8" s="66">
        <f>INDEX(Machine_Master!$D:$D,MATCH(C8,Machine_Master!$B:$B,0))</f>
        <v>13.5</v>
      </c>
      <c r="M8" s="66">
        <f t="shared" si="2"/>
        <v>101.25</v>
      </c>
      <c r="N8" s="68"/>
      <c r="O8" s="68"/>
      <c r="P8" s="66"/>
      <c r="Q8" s="69">
        <f t="shared" si="3"/>
        <v>1</v>
      </c>
      <c r="R8" s="69">
        <f t="shared" si="4"/>
        <v>0</v>
      </c>
      <c r="S8" s="69">
        <f t="shared" si="5"/>
        <v>0</v>
      </c>
      <c r="T8" s="69">
        <f t="shared" si="6"/>
        <v>0</v>
      </c>
      <c r="U8" s="66"/>
    </row>
    <row r="9" spans="1:21" ht="18" customHeight="1" x14ac:dyDescent="0.25">
      <c r="A9" s="65">
        <f>Simple_Input!$E$1</f>
        <v>45748</v>
      </c>
      <c r="B9" s="66" t="str">
        <f>Simple_Input!A10</f>
        <v>QUILTING</v>
      </c>
      <c r="C9" s="66" t="str">
        <f>Simple_Input!B10</f>
        <v>PARAGON+</v>
      </c>
      <c r="D9" s="66" t="str">
        <f>Simple_Input!C10</f>
        <v>Day</v>
      </c>
      <c r="E9" s="66">
        <f>INDEX(Machine_Master!$E:$E,MATCH(C9,Machine_Master!$B:$B,0))</f>
        <v>8</v>
      </c>
      <c r="F9" s="66">
        <f>INDEX(Machine_Master!$F:$F,MATCH(C9,Machine_Master!$B:$B,0))</f>
        <v>0.5</v>
      </c>
      <c r="G9" s="67">
        <f>Simple_Input!F10</f>
        <v>0</v>
      </c>
      <c r="H9" s="67">
        <f>Simple_Input!G10</f>
        <v>0</v>
      </c>
      <c r="I9" s="67">
        <f>Simple_Input!H10</f>
        <v>0</v>
      </c>
      <c r="J9" s="66">
        <f t="shared" si="0"/>
        <v>7.5</v>
      </c>
      <c r="K9" s="66">
        <f t="shared" si="1"/>
        <v>7.5</v>
      </c>
      <c r="L9" s="66">
        <f>INDEX(Machine_Master!$D:$D,MATCH(C9,Machine_Master!$B:$B,0))</f>
        <v>93.75</v>
      </c>
      <c r="M9" s="66">
        <f t="shared" si="2"/>
        <v>703.125</v>
      </c>
      <c r="N9" s="68"/>
      <c r="O9" s="68"/>
      <c r="P9" s="66"/>
      <c r="Q9" s="69">
        <f t="shared" si="3"/>
        <v>1</v>
      </c>
      <c r="R9" s="69">
        <f t="shared" si="4"/>
        <v>0</v>
      </c>
      <c r="S9" s="69">
        <f t="shared" si="5"/>
        <v>0</v>
      </c>
      <c r="T9" s="69">
        <f t="shared" si="6"/>
        <v>0</v>
      </c>
      <c r="U9" s="66"/>
    </row>
    <row r="10" spans="1:21" ht="18" customHeight="1" x14ac:dyDescent="0.25">
      <c r="A10" s="65">
        <f>Simple_Input!$E$1</f>
        <v>45748</v>
      </c>
      <c r="B10" s="66" t="str">
        <f>Simple_Input!A11</f>
        <v>QUILTING</v>
      </c>
      <c r="C10" s="66" t="str">
        <f>Simple_Input!B11</f>
        <v>RELIANCE</v>
      </c>
      <c r="D10" s="66" t="str">
        <f>Simple_Input!C11</f>
        <v>Day</v>
      </c>
      <c r="E10" s="66">
        <f>INDEX(Machine_Master!$E:$E,MATCH(C10,Machine_Master!$B:$B,0))</f>
        <v>8</v>
      </c>
      <c r="F10" s="66">
        <f>INDEX(Machine_Master!$F:$F,MATCH(C10,Machine_Master!$B:$B,0))</f>
        <v>0.5</v>
      </c>
      <c r="G10" s="67">
        <f>Simple_Input!F11</f>
        <v>0</v>
      </c>
      <c r="H10" s="67">
        <f>Simple_Input!G11</f>
        <v>0</v>
      </c>
      <c r="I10" s="67">
        <f>Simple_Input!H11</f>
        <v>0</v>
      </c>
      <c r="J10" s="66">
        <f t="shared" si="0"/>
        <v>7.5</v>
      </c>
      <c r="K10" s="66">
        <f t="shared" si="1"/>
        <v>7.5</v>
      </c>
      <c r="L10" s="66">
        <f>INDEX(Machine_Master!$D:$D,MATCH(C10,Machine_Master!$B:$B,0))</f>
        <v>93.75</v>
      </c>
      <c r="M10" s="66">
        <f t="shared" si="2"/>
        <v>703.125</v>
      </c>
      <c r="N10" s="68"/>
      <c r="O10" s="68"/>
      <c r="P10" s="66"/>
      <c r="Q10" s="69">
        <f t="shared" si="3"/>
        <v>1</v>
      </c>
      <c r="R10" s="69">
        <f t="shared" si="4"/>
        <v>0</v>
      </c>
      <c r="S10" s="69">
        <f t="shared" si="5"/>
        <v>0</v>
      </c>
      <c r="T10" s="69">
        <f t="shared" si="6"/>
        <v>0</v>
      </c>
      <c r="U10" s="66"/>
    </row>
    <row r="11" spans="1:21" ht="18" customHeight="1" x14ac:dyDescent="0.25">
      <c r="A11" s="65">
        <f>Simple_Input!$E$1</f>
        <v>45748</v>
      </c>
      <c r="B11" s="66" t="str">
        <f>Simple_Input!A12</f>
        <v>QUILTING</v>
      </c>
      <c r="C11" s="66" t="str">
        <f>Simple_Input!B12</f>
        <v>EVEREN</v>
      </c>
      <c r="D11" s="66" t="str">
        <f>Simple_Input!C12</f>
        <v>Day</v>
      </c>
      <c r="E11" s="66">
        <f>INDEX(Machine_Master!$E:$E,MATCH(C11,Machine_Master!$B:$B,0))</f>
        <v>8</v>
      </c>
      <c r="F11" s="66">
        <f>INDEX(Machine_Master!$F:$F,MATCH(C11,Machine_Master!$B:$B,0))</f>
        <v>0.5</v>
      </c>
      <c r="G11" s="67">
        <f>Simple_Input!F12</f>
        <v>0</v>
      </c>
      <c r="H11" s="67">
        <f>Simple_Input!G12</f>
        <v>0</v>
      </c>
      <c r="I11" s="67">
        <f>Simple_Input!H12</f>
        <v>0</v>
      </c>
      <c r="J11" s="66">
        <f t="shared" si="0"/>
        <v>7.5</v>
      </c>
      <c r="K11" s="66">
        <f t="shared" si="1"/>
        <v>7.5</v>
      </c>
      <c r="L11" s="66">
        <f>INDEX(Machine_Master!$D:$D,MATCH(C11,Machine_Master!$B:$B,0))</f>
        <v>62.5</v>
      </c>
      <c r="M11" s="66">
        <f t="shared" si="2"/>
        <v>468.75</v>
      </c>
      <c r="N11" s="68"/>
      <c r="O11" s="68"/>
      <c r="P11" s="66"/>
      <c r="Q11" s="69">
        <f t="shared" si="3"/>
        <v>1</v>
      </c>
      <c r="R11" s="69">
        <f t="shared" si="4"/>
        <v>0</v>
      </c>
      <c r="S11" s="69">
        <f t="shared" si="5"/>
        <v>0</v>
      </c>
      <c r="T11" s="69">
        <f t="shared" si="6"/>
        <v>0</v>
      </c>
      <c r="U11" s="66"/>
    </row>
    <row r="12" spans="1:21" ht="18" customHeight="1" x14ac:dyDescent="0.25">
      <c r="A12" s="65">
        <f>Simple_Input!$E$1</f>
        <v>45748</v>
      </c>
      <c r="B12" s="66" t="str">
        <f>Simple_Input!A13</f>
        <v>TAPE EDGE</v>
      </c>
      <c r="C12" s="66" t="str">
        <f>Simple_Input!B13</f>
        <v>TAPE EDGE-1</v>
      </c>
      <c r="D12" s="66" t="str">
        <f>Simple_Input!C13</f>
        <v>Day</v>
      </c>
      <c r="E12" s="66">
        <f>INDEX(Machine_Master!$E:$E,MATCH(C12,Machine_Master!$B:$B,0))</f>
        <v>8</v>
      </c>
      <c r="F12" s="66">
        <f>INDEX(Machine_Master!$F:$F,MATCH(C12,Machine_Master!$B:$B,0))</f>
        <v>0.5</v>
      </c>
      <c r="G12" s="67">
        <f>Simple_Input!F13</f>
        <v>0</v>
      </c>
      <c r="H12" s="67">
        <f>Simple_Input!G13</f>
        <v>0</v>
      </c>
      <c r="I12" s="67">
        <f>Simple_Input!H13</f>
        <v>0</v>
      </c>
      <c r="J12" s="66">
        <f t="shared" si="0"/>
        <v>7.5</v>
      </c>
      <c r="K12" s="66">
        <f t="shared" si="1"/>
        <v>7.5</v>
      </c>
      <c r="L12" s="66">
        <f>INDEX(Machine_Master!$D:$D,MATCH(C12,Machine_Master!$B:$B,0))</f>
        <v>9.3800000000000008</v>
      </c>
      <c r="M12" s="66">
        <f t="shared" si="2"/>
        <v>70.350000000000009</v>
      </c>
      <c r="N12" s="68"/>
      <c r="O12" s="68"/>
      <c r="P12" s="66"/>
      <c r="Q12" s="69">
        <f t="shared" si="3"/>
        <v>1</v>
      </c>
      <c r="R12" s="69">
        <f t="shared" si="4"/>
        <v>0</v>
      </c>
      <c r="S12" s="69">
        <f t="shared" si="5"/>
        <v>0</v>
      </c>
      <c r="T12" s="69">
        <f t="shared" si="6"/>
        <v>0</v>
      </c>
      <c r="U12" s="66"/>
    </row>
    <row r="13" spans="1:21" ht="18" customHeight="1" x14ac:dyDescent="0.25">
      <c r="A13" s="65">
        <f>Simple_Input!$E$1</f>
        <v>45748</v>
      </c>
      <c r="B13" s="66" t="str">
        <f>Simple_Input!A14</f>
        <v>TAPE EDGE</v>
      </c>
      <c r="C13" s="66" t="str">
        <f>Simple_Input!B14</f>
        <v>TAPE EDGE-2</v>
      </c>
      <c r="D13" s="66" t="str">
        <f>Simple_Input!C14</f>
        <v>Day</v>
      </c>
      <c r="E13" s="66">
        <f>INDEX(Machine_Master!$E:$E,MATCH(C13,Machine_Master!$B:$B,0))</f>
        <v>8</v>
      </c>
      <c r="F13" s="66">
        <f>INDEX(Machine_Master!$F:$F,MATCH(C13,Machine_Master!$B:$B,0))</f>
        <v>0.5</v>
      </c>
      <c r="G13" s="67">
        <f>Simple_Input!F14</f>
        <v>0</v>
      </c>
      <c r="H13" s="67">
        <f>Simple_Input!G14</f>
        <v>0</v>
      </c>
      <c r="I13" s="67">
        <f>Simple_Input!H14</f>
        <v>0</v>
      </c>
      <c r="J13" s="66">
        <f t="shared" si="0"/>
        <v>7.5</v>
      </c>
      <c r="K13" s="66">
        <f t="shared" si="1"/>
        <v>7.5</v>
      </c>
      <c r="L13" s="66">
        <f>INDEX(Machine_Master!$D:$D,MATCH(C13,Machine_Master!$B:$B,0))</f>
        <v>9.3800000000000008</v>
      </c>
      <c r="M13" s="66">
        <f t="shared" si="2"/>
        <v>70.350000000000009</v>
      </c>
      <c r="N13" s="68"/>
      <c r="O13" s="68"/>
      <c r="P13" s="66"/>
      <c r="Q13" s="69">
        <f t="shared" si="3"/>
        <v>1</v>
      </c>
      <c r="R13" s="69">
        <f t="shared" si="4"/>
        <v>0</v>
      </c>
      <c r="S13" s="69">
        <f t="shared" si="5"/>
        <v>0</v>
      </c>
      <c r="T13" s="69">
        <f t="shared" si="6"/>
        <v>0</v>
      </c>
      <c r="U13" s="66"/>
    </row>
    <row r="14" spans="1:21" ht="18" customHeight="1" x14ac:dyDescent="0.25">
      <c r="A14" s="65">
        <f>Simple_Input!$E$1</f>
        <v>45748</v>
      </c>
      <c r="B14" s="66" t="str">
        <f>Simple_Input!A15</f>
        <v>TAPE EDGE</v>
      </c>
      <c r="C14" s="66" t="str">
        <f>Simple_Input!B15</f>
        <v>TAPE EDGE-3</v>
      </c>
      <c r="D14" s="66" t="str">
        <f>Simple_Input!C15</f>
        <v>Day</v>
      </c>
      <c r="E14" s="66">
        <f>INDEX(Machine_Master!$E:$E,MATCH(C14,Machine_Master!$B:$B,0))</f>
        <v>8</v>
      </c>
      <c r="F14" s="66">
        <f>INDEX(Machine_Master!$F:$F,MATCH(C14,Machine_Master!$B:$B,0))</f>
        <v>0.5</v>
      </c>
      <c r="G14" s="67">
        <f>Simple_Input!F15</f>
        <v>0</v>
      </c>
      <c r="H14" s="67">
        <f>Simple_Input!G15</f>
        <v>0</v>
      </c>
      <c r="I14" s="67">
        <f>Simple_Input!H15</f>
        <v>0</v>
      </c>
      <c r="J14" s="66">
        <f t="shared" si="0"/>
        <v>7.5</v>
      </c>
      <c r="K14" s="66">
        <f t="shared" si="1"/>
        <v>7.5</v>
      </c>
      <c r="L14" s="66">
        <f>INDEX(Machine_Master!$D:$D,MATCH(C14,Machine_Master!$B:$B,0))</f>
        <v>9.3800000000000008</v>
      </c>
      <c r="M14" s="66">
        <f t="shared" si="2"/>
        <v>70.350000000000009</v>
      </c>
      <c r="N14" s="68"/>
      <c r="O14" s="68"/>
      <c r="P14" s="66"/>
      <c r="Q14" s="69">
        <f t="shared" si="3"/>
        <v>1</v>
      </c>
      <c r="R14" s="69">
        <f t="shared" si="4"/>
        <v>0</v>
      </c>
      <c r="S14" s="69">
        <f t="shared" si="5"/>
        <v>0</v>
      </c>
      <c r="T14" s="69">
        <f t="shared" si="6"/>
        <v>0</v>
      </c>
      <c r="U14" s="66"/>
    </row>
    <row r="15" spans="1:21" ht="18" customHeight="1" x14ac:dyDescent="0.25">
      <c r="A15" s="65">
        <f>Simple_Input!$E$1</f>
        <v>45748</v>
      </c>
      <c r="B15" s="66" t="str">
        <f>Simple_Input!A16</f>
        <v>TAPE EDGE</v>
      </c>
      <c r="C15" s="66" t="str">
        <f>Simple_Input!B16</f>
        <v>TAPE EDGE-4</v>
      </c>
      <c r="D15" s="66" t="str">
        <f>Simple_Input!C16</f>
        <v>Day</v>
      </c>
      <c r="E15" s="66">
        <f>INDEX(Machine_Master!$E:$E,MATCH(C15,Machine_Master!$B:$B,0))</f>
        <v>8</v>
      </c>
      <c r="F15" s="66">
        <f>INDEX(Machine_Master!$F:$F,MATCH(C15,Machine_Master!$B:$B,0))</f>
        <v>0.5</v>
      </c>
      <c r="G15" s="67">
        <f>Simple_Input!F16</f>
        <v>0</v>
      </c>
      <c r="H15" s="67">
        <f>Simple_Input!G16</f>
        <v>0</v>
      </c>
      <c r="I15" s="67">
        <f>Simple_Input!H16</f>
        <v>0</v>
      </c>
      <c r="J15" s="66">
        <f t="shared" si="0"/>
        <v>7.5</v>
      </c>
      <c r="K15" s="66">
        <f t="shared" si="1"/>
        <v>7.5</v>
      </c>
      <c r="L15" s="66">
        <f>INDEX(Machine_Master!$D:$D,MATCH(C15,Machine_Master!$B:$B,0))</f>
        <v>9.3800000000000008</v>
      </c>
      <c r="M15" s="66">
        <f t="shared" si="2"/>
        <v>70.350000000000009</v>
      </c>
      <c r="N15" s="68"/>
      <c r="O15" s="68"/>
      <c r="P15" s="66"/>
      <c r="Q15" s="69">
        <f t="shared" si="3"/>
        <v>1</v>
      </c>
      <c r="R15" s="69">
        <f t="shared" si="4"/>
        <v>0</v>
      </c>
      <c r="S15" s="69">
        <f t="shared" si="5"/>
        <v>0</v>
      </c>
      <c r="T15" s="69">
        <f t="shared" si="6"/>
        <v>0</v>
      </c>
      <c r="U15" s="66"/>
    </row>
    <row r="16" spans="1:21" ht="18" customHeight="1" x14ac:dyDescent="0.25">
      <c r="A16" s="65">
        <f>Simple_Input!$E$1</f>
        <v>45748</v>
      </c>
      <c r="B16" s="66" t="str">
        <f>Simple_Input!A17</f>
        <v>TAPE EDGE</v>
      </c>
      <c r="C16" s="66" t="str">
        <f>Simple_Input!B17</f>
        <v>TAPE EDGE-5</v>
      </c>
      <c r="D16" s="66" t="str">
        <f>Simple_Input!C17</f>
        <v>Day</v>
      </c>
      <c r="E16" s="66">
        <f>INDEX(Machine_Master!$E:$E,MATCH(C16,Machine_Master!$B:$B,0))</f>
        <v>8</v>
      </c>
      <c r="F16" s="66">
        <f>INDEX(Machine_Master!$F:$F,MATCH(C16,Machine_Master!$B:$B,0))</f>
        <v>0.5</v>
      </c>
      <c r="G16" s="67">
        <f>Simple_Input!F17</f>
        <v>0</v>
      </c>
      <c r="H16" s="67">
        <f>Simple_Input!G17</f>
        <v>0</v>
      </c>
      <c r="I16" s="67">
        <f>Simple_Input!H17</f>
        <v>0</v>
      </c>
      <c r="J16" s="66">
        <f t="shared" si="0"/>
        <v>7.5</v>
      </c>
      <c r="K16" s="66">
        <f t="shared" si="1"/>
        <v>7.5</v>
      </c>
      <c r="L16" s="66">
        <f>INDEX(Machine_Master!$D:$D,MATCH(C16,Machine_Master!$B:$B,0))</f>
        <v>9.3800000000000008</v>
      </c>
      <c r="M16" s="66">
        <f t="shared" si="2"/>
        <v>70.350000000000009</v>
      </c>
      <c r="N16" s="68"/>
      <c r="O16" s="68"/>
      <c r="P16" s="66"/>
      <c r="Q16" s="69">
        <f t="shared" si="3"/>
        <v>1</v>
      </c>
      <c r="R16" s="69">
        <f t="shared" si="4"/>
        <v>0</v>
      </c>
      <c r="S16" s="69">
        <f t="shared" si="5"/>
        <v>0</v>
      </c>
      <c r="T16" s="69">
        <f t="shared" si="6"/>
        <v>0</v>
      </c>
      <c r="U16" s="66"/>
    </row>
    <row r="17" spans="1:21" ht="18" customHeight="1" x14ac:dyDescent="0.25">
      <c r="A17" s="65">
        <f>Simple_Input!$E$1</f>
        <v>45748</v>
      </c>
      <c r="B17" s="66" t="str">
        <f>Simple_Input!A18</f>
        <v>TAPE EDGE</v>
      </c>
      <c r="C17" s="66" t="str">
        <f>Simple_Input!B18</f>
        <v>TAPE EDGE-6</v>
      </c>
      <c r="D17" s="66" t="str">
        <f>Simple_Input!C18</f>
        <v>Day</v>
      </c>
      <c r="E17" s="66">
        <f>INDEX(Machine_Master!$E:$E,MATCH(C17,Machine_Master!$B:$B,0))</f>
        <v>8</v>
      </c>
      <c r="F17" s="66">
        <f>INDEX(Machine_Master!$F:$F,MATCH(C17,Machine_Master!$B:$B,0))</f>
        <v>0.5</v>
      </c>
      <c r="G17" s="67">
        <f>Simple_Input!F18</f>
        <v>0</v>
      </c>
      <c r="H17" s="67">
        <f>Simple_Input!G18</f>
        <v>0</v>
      </c>
      <c r="I17" s="67">
        <f>Simple_Input!H18</f>
        <v>0</v>
      </c>
      <c r="J17" s="66">
        <f t="shared" si="0"/>
        <v>7.5</v>
      </c>
      <c r="K17" s="66">
        <f t="shared" si="1"/>
        <v>7.5</v>
      </c>
      <c r="L17" s="66">
        <f>INDEX(Machine_Master!$D:$D,MATCH(C17,Machine_Master!$B:$B,0))</f>
        <v>9.3800000000000008</v>
      </c>
      <c r="M17" s="66">
        <f t="shared" si="2"/>
        <v>70.350000000000009</v>
      </c>
      <c r="N17" s="68"/>
      <c r="O17" s="68"/>
      <c r="P17" s="66"/>
      <c r="Q17" s="69">
        <f t="shared" si="3"/>
        <v>1</v>
      </c>
      <c r="R17" s="69">
        <f t="shared" si="4"/>
        <v>0</v>
      </c>
      <c r="S17" s="69">
        <f t="shared" si="5"/>
        <v>0</v>
      </c>
      <c r="T17" s="69">
        <f t="shared" si="6"/>
        <v>0</v>
      </c>
      <c r="U17" s="66"/>
    </row>
    <row r="18" spans="1:21" ht="18" customHeight="1" x14ac:dyDescent="0.25">
      <c r="A18" s="65">
        <f>Simple_Input!$E$1</f>
        <v>45748</v>
      </c>
      <c r="B18" s="66" t="str">
        <f>Simple_Input!A19</f>
        <v>TAPE EDGE</v>
      </c>
      <c r="C18" s="66" t="str">
        <f>Simple_Input!B19</f>
        <v>TAPE EDGE-7</v>
      </c>
      <c r="D18" s="66" t="str">
        <f>Simple_Input!C19</f>
        <v>Day</v>
      </c>
      <c r="E18" s="66">
        <f>INDEX(Machine_Master!$E:$E,MATCH(C18,Machine_Master!$B:$B,0))</f>
        <v>8</v>
      </c>
      <c r="F18" s="66">
        <f>INDEX(Machine_Master!$F:$F,MATCH(C18,Machine_Master!$B:$B,0))</f>
        <v>0.5</v>
      </c>
      <c r="G18" s="67">
        <f>Simple_Input!F19</f>
        <v>0</v>
      </c>
      <c r="H18" s="67">
        <f>Simple_Input!G19</f>
        <v>0</v>
      </c>
      <c r="I18" s="67">
        <f>Simple_Input!H19</f>
        <v>0</v>
      </c>
      <c r="J18" s="66">
        <f t="shared" si="0"/>
        <v>7.5</v>
      </c>
      <c r="K18" s="66">
        <f t="shared" si="1"/>
        <v>7.5</v>
      </c>
      <c r="L18" s="66">
        <f>INDEX(Machine_Master!$D:$D,MATCH(C18,Machine_Master!$B:$B,0))</f>
        <v>9.3800000000000008</v>
      </c>
      <c r="M18" s="66">
        <f t="shared" si="2"/>
        <v>70.350000000000009</v>
      </c>
      <c r="N18" s="68"/>
      <c r="O18" s="68"/>
      <c r="P18" s="66"/>
      <c r="Q18" s="69">
        <f t="shared" si="3"/>
        <v>1</v>
      </c>
      <c r="R18" s="69">
        <f t="shared" si="4"/>
        <v>0</v>
      </c>
      <c r="S18" s="69">
        <f t="shared" si="5"/>
        <v>0</v>
      </c>
      <c r="T18" s="69">
        <f t="shared" si="6"/>
        <v>0</v>
      </c>
      <c r="U18" s="66"/>
    </row>
    <row r="19" spans="1:21" ht="18" customHeight="1" x14ac:dyDescent="0.25">
      <c r="A19" s="65">
        <f>Simple_Input!$E$1</f>
        <v>45748</v>
      </c>
      <c r="B19" s="66" t="str">
        <f>Simple_Input!A20</f>
        <v>HYPNOS</v>
      </c>
      <c r="C19" s="66" t="str">
        <f>Simple_Input!B20</f>
        <v>TAPE EDGE -1</v>
      </c>
      <c r="D19" s="66" t="str">
        <f>Simple_Input!C20</f>
        <v>Day</v>
      </c>
      <c r="E19" s="66">
        <f>INDEX(Machine_Master!$E:$E,MATCH(C19,Machine_Master!$B:$B,0))</f>
        <v>8</v>
      </c>
      <c r="F19" s="66">
        <f>INDEX(Machine_Master!$F:$F,MATCH(C19,Machine_Master!$B:$B,0))</f>
        <v>0.5</v>
      </c>
      <c r="G19" s="67">
        <f>Simple_Input!F20</f>
        <v>0</v>
      </c>
      <c r="H19" s="67">
        <f>Simple_Input!G20</f>
        <v>0</v>
      </c>
      <c r="I19" s="67">
        <f>Simple_Input!H20</f>
        <v>0</v>
      </c>
      <c r="J19" s="66">
        <f t="shared" si="0"/>
        <v>7.5</v>
      </c>
      <c r="K19" s="66">
        <f t="shared" si="1"/>
        <v>7.5</v>
      </c>
      <c r="L19" s="66">
        <f>INDEX(Machine_Master!$D:$D,MATCH(C19,Machine_Master!$B:$B,0))</f>
        <v>9.3800000000000008</v>
      </c>
      <c r="M19" s="66">
        <f t="shared" si="2"/>
        <v>70.350000000000009</v>
      </c>
      <c r="N19" s="68"/>
      <c r="O19" s="68"/>
      <c r="P19" s="66"/>
      <c r="Q19" s="69">
        <f t="shared" si="3"/>
        <v>1</v>
      </c>
      <c r="R19" s="69">
        <f t="shared" si="4"/>
        <v>0</v>
      </c>
      <c r="S19" s="69">
        <f t="shared" si="5"/>
        <v>0</v>
      </c>
      <c r="T19" s="69">
        <f t="shared" si="6"/>
        <v>0</v>
      </c>
      <c r="U19" s="66"/>
    </row>
    <row r="20" spans="1:21" ht="18" customHeight="1" x14ac:dyDescent="0.25">
      <c r="A20" s="65">
        <f>Simple_Input!$E$1</f>
        <v>45748</v>
      </c>
      <c r="B20" s="66" t="str">
        <f>Simple_Input!A21</f>
        <v>HYPNOS</v>
      </c>
      <c r="C20" s="66" t="str">
        <f>Simple_Input!B21</f>
        <v>TAPE EDGE -2</v>
      </c>
      <c r="D20" s="66" t="str">
        <f>Simple_Input!C21</f>
        <v>Day</v>
      </c>
      <c r="E20" s="66">
        <f>INDEX(Machine_Master!$E:$E,MATCH(C20,Machine_Master!$B:$B,0))</f>
        <v>8</v>
      </c>
      <c r="F20" s="66">
        <f>INDEX(Machine_Master!$F:$F,MATCH(C20,Machine_Master!$B:$B,0))</f>
        <v>0.5</v>
      </c>
      <c r="G20" s="67">
        <f>Simple_Input!F21</f>
        <v>0</v>
      </c>
      <c r="H20" s="67">
        <f>Simple_Input!G21</f>
        <v>0</v>
      </c>
      <c r="I20" s="67">
        <f>Simple_Input!H21</f>
        <v>0</v>
      </c>
      <c r="J20" s="66">
        <f t="shared" si="0"/>
        <v>7.5</v>
      </c>
      <c r="K20" s="66">
        <f t="shared" si="1"/>
        <v>7.5</v>
      </c>
      <c r="L20" s="66">
        <f>INDEX(Machine_Master!$D:$D,MATCH(C20,Machine_Master!$B:$B,0))</f>
        <v>9.3800000000000008</v>
      </c>
      <c r="M20" s="66">
        <f t="shared" si="2"/>
        <v>70.350000000000009</v>
      </c>
      <c r="N20" s="68"/>
      <c r="O20" s="68"/>
      <c r="P20" s="66"/>
      <c r="Q20" s="69">
        <f t="shared" si="3"/>
        <v>1</v>
      </c>
      <c r="R20" s="69">
        <f t="shared" si="4"/>
        <v>0</v>
      </c>
      <c r="S20" s="69">
        <f t="shared" si="5"/>
        <v>0</v>
      </c>
      <c r="T20" s="69">
        <f t="shared" si="6"/>
        <v>0</v>
      </c>
      <c r="U20" s="66"/>
    </row>
    <row r="21" spans="1:21" ht="18" customHeight="1" x14ac:dyDescent="0.25">
      <c r="A21" s="65">
        <f>Simple_Input!$E$1</f>
        <v>45748</v>
      </c>
      <c r="B21" s="66" t="str">
        <f>Simple_Input!A23</f>
        <v>BONNELL</v>
      </c>
      <c r="C21" s="66" t="str">
        <f>Simple_Input!B23</f>
        <v>FT-81-1</v>
      </c>
      <c r="D21" s="66" t="str">
        <f>Simple_Input!C23</f>
        <v>Night</v>
      </c>
      <c r="E21" s="66">
        <f>INDEX(Machine_Master!$E:$E,MATCH(C21,Machine_Master!$B:$B,0))</f>
        <v>8</v>
      </c>
      <c r="F21" s="66">
        <f>INDEX(Machine_Master!$F:$F,MATCH(C21,Machine_Master!$B:$B,0))</f>
        <v>0.5</v>
      </c>
      <c r="G21" s="67">
        <f>Simple_Input!F23</f>
        <v>0</v>
      </c>
      <c r="H21" s="67">
        <f>Simple_Input!G23</f>
        <v>0</v>
      </c>
      <c r="I21" s="67">
        <f>Simple_Input!H23</f>
        <v>0</v>
      </c>
      <c r="J21" s="66">
        <f t="shared" si="0"/>
        <v>7.5</v>
      </c>
      <c r="K21" s="66">
        <f t="shared" si="1"/>
        <v>7.5</v>
      </c>
      <c r="L21" s="66">
        <f>INDEX(Machine_Master!$D:$D,MATCH(C21,Machine_Master!$B:$B,0))</f>
        <v>12.5</v>
      </c>
      <c r="M21" s="66">
        <f t="shared" si="2"/>
        <v>93.75</v>
      </c>
      <c r="N21" s="68"/>
      <c r="O21" s="68"/>
      <c r="P21" s="66"/>
      <c r="Q21" s="69">
        <f t="shared" si="3"/>
        <v>1</v>
      </c>
      <c r="R21" s="69">
        <f t="shared" si="4"/>
        <v>0</v>
      </c>
      <c r="S21" s="69">
        <f t="shared" si="5"/>
        <v>0</v>
      </c>
      <c r="T21" s="69">
        <f t="shared" si="6"/>
        <v>0</v>
      </c>
      <c r="U21" s="66"/>
    </row>
    <row r="22" spans="1:21" ht="18" customHeight="1" x14ac:dyDescent="0.25">
      <c r="A22" s="65">
        <f>Simple_Input!$E$1</f>
        <v>45748</v>
      </c>
      <c r="B22" s="66" t="str">
        <f>Simple_Input!A24</f>
        <v>BONNELL</v>
      </c>
      <c r="C22" s="66" t="str">
        <f>Simple_Input!B24</f>
        <v>FT-81-2</v>
      </c>
      <c r="D22" s="66" t="str">
        <f>Simple_Input!C24</f>
        <v>Night</v>
      </c>
      <c r="E22" s="66">
        <f>INDEX(Machine_Master!$E:$E,MATCH(C22,Machine_Master!$B:$B,0))</f>
        <v>8</v>
      </c>
      <c r="F22" s="66">
        <f>INDEX(Machine_Master!$F:$F,MATCH(C22,Machine_Master!$B:$B,0))</f>
        <v>0.5</v>
      </c>
      <c r="G22" s="67">
        <f>Simple_Input!F24</f>
        <v>0</v>
      </c>
      <c r="H22" s="67">
        <f>Simple_Input!G24</f>
        <v>0</v>
      </c>
      <c r="I22" s="67">
        <f>Simple_Input!H24</f>
        <v>0</v>
      </c>
      <c r="J22" s="66">
        <f t="shared" si="0"/>
        <v>7.5</v>
      </c>
      <c r="K22" s="66">
        <f t="shared" si="1"/>
        <v>7.5</v>
      </c>
      <c r="L22" s="66">
        <f>INDEX(Machine_Master!$D:$D,MATCH(C22,Machine_Master!$B:$B,0))</f>
        <v>12.5</v>
      </c>
      <c r="M22" s="66">
        <f t="shared" si="2"/>
        <v>93.75</v>
      </c>
      <c r="N22" s="68"/>
      <c r="O22" s="68"/>
      <c r="P22" s="66"/>
      <c r="Q22" s="69">
        <f t="shared" si="3"/>
        <v>1</v>
      </c>
      <c r="R22" s="69">
        <f t="shared" si="4"/>
        <v>0</v>
      </c>
      <c r="S22" s="69">
        <f t="shared" si="5"/>
        <v>0</v>
      </c>
      <c r="T22" s="69">
        <f t="shared" si="6"/>
        <v>0</v>
      </c>
      <c r="U22" s="66"/>
    </row>
    <row r="23" spans="1:21" ht="18" customHeight="1" x14ac:dyDescent="0.25">
      <c r="A23" s="65">
        <f>Simple_Input!$E$1</f>
        <v>45748</v>
      </c>
      <c r="B23" s="66" t="str">
        <f>Simple_Input!A25</f>
        <v>BONNELL</v>
      </c>
      <c r="C23" s="66" t="str">
        <f>Simple_Input!B25</f>
        <v>FT-81-3</v>
      </c>
      <c r="D23" s="66" t="str">
        <f>Simple_Input!C25</f>
        <v>Night</v>
      </c>
      <c r="E23" s="66">
        <f>INDEX(Machine_Master!$E:$E,MATCH(C23,Machine_Master!$B:$B,0))</f>
        <v>8</v>
      </c>
      <c r="F23" s="66">
        <f>INDEX(Machine_Master!$F:$F,MATCH(C23,Machine_Master!$B:$B,0))</f>
        <v>0.5</v>
      </c>
      <c r="G23" s="67">
        <f>Simple_Input!F25</f>
        <v>0</v>
      </c>
      <c r="H23" s="67">
        <f>Simple_Input!G25</f>
        <v>0</v>
      </c>
      <c r="I23" s="67">
        <f>Simple_Input!H25</f>
        <v>0</v>
      </c>
      <c r="J23" s="66">
        <f t="shared" si="0"/>
        <v>7.5</v>
      </c>
      <c r="K23" s="66">
        <f t="shared" si="1"/>
        <v>7.5</v>
      </c>
      <c r="L23" s="66">
        <f>INDEX(Machine_Master!$D:$D,MATCH(C23,Machine_Master!$B:$B,0))</f>
        <v>12.5</v>
      </c>
      <c r="M23" s="66">
        <f t="shared" si="2"/>
        <v>93.75</v>
      </c>
      <c r="N23" s="68"/>
      <c r="O23" s="68"/>
      <c r="P23" s="66"/>
      <c r="Q23" s="69">
        <f t="shared" si="3"/>
        <v>1</v>
      </c>
      <c r="R23" s="69">
        <f t="shared" si="4"/>
        <v>0</v>
      </c>
      <c r="S23" s="69">
        <f t="shared" si="5"/>
        <v>0</v>
      </c>
      <c r="T23" s="69">
        <f t="shared" si="6"/>
        <v>0</v>
      </c>
      <c r="U23" s="66"/>
    </row>
    <row r="24" spans="1:21" ht="18" customHeight="1" x14ac:dyDescent="0.25">
      <c r="A24" s="65">
        <f>Simple_Input!$E$1</f>
        <v>45748</v>
      </c>
      <c r="B24" s="66" t="str">
        <f>Simple_Input!A26</f>
        <v>BONNELL</v>
      </c>
      <c r="C24" s="66" t="str">
        <f>Simple_Input!B26</f>
        <v>FT-81-4</v>
      </c>
      <c r="D24" s="66" t="str">
        <f>Simple_Input!C26</f>
        <v>Night</v>
      </c>
      <c r="E24" s="66">
        <f>INDEX(Machine_Master!$E:$E,MATCH(C24,Machine_Master!$B:$B,0))</f>
        <v>8</v>
      </c>
      <c r="F24" s="66">
        <f>INDEX(Machine_Master!$F:$F,MATCH(C24,Machine_Master!$B:$B,0))</f>
        <v>0.5</v>
      </c>
      <c r="G24" s="67">
        <f>Simple_Input!F26</f>
        <v>0</v>
      </c>
      <c r="H24" s="67">
        <f>Simple_Input!G26</f>
        <v>0</v>
      </c>
      <c r="I24" s="67">
        <f>Simple_Input!H26</f>
        <v>0</v>
      </c>
      <c r="J24" s="66">
        <f t="shared" si="0"/>
        <v>7.5</v>
      </c>
      <c r="K24" s="66">
        <f t="shared" si="1"/>
        <v>7.5</v>
      </c>
      <c r="L24" s="66">
        <f>INDEX(Machine_Master!$D:$D,MATCH(C24,Machine_Master!$B:$B,0))</f>
        <v>12.5</v>
      </c>
      <c r="M24" s="66">
        <f t="shared" si="2"/>
        <v>93.75</v>
      </c>
      <c r="N24" s="68"/>
      <c r="O24" s="68"/>
      <c r="P24" s="66"/>
      <c r="Q24" s="69">
        <f t="shared" si="3"/>
        <v>1</v>
      </c>
      <c r="R24" s="69">
        <f t="shared" si="4"/>
        <v>0</v>
      </c>
      <c r="S24" s="69">
        <f t="shared" si="5"/>
        <v>0</v>
      </c>
      <c r="T24" s="69">
        <f t="shared" si="6"/>
        <v>0</v>
      </c>
      <c r="U24" s="66"/>
    </row>
    <row r="25" spans="1:21" ht="18" customHeight="1" x14ac:dyDescent="0.25">
      <c r="A25" s="65">
        <f>Simple_Input!$E$1</f>
        <v>45748</v>
      </c>
      <c r="B25" s="66" t="str">
        <f>Simple_Input!A27</f>
        <v>POCKETED</v>
      </c>
      <c r="C25" s="66" t="str">
        <f>Simple_Input!B27</f>
        <v>LR-PS-UVS</v>
      </c>
      <c r="D25" s="66" t="str">
        <f>Simple_Input!C27</f>
        <v>Night</v>
      </c>
      <c r="E25" s="66">
        <f>INDEX(Machine_Master!$E:$E,MATCH(C25,Machine_Master!$B:$B,0))</f>
        <v>8</v>
      </c>
      <c r="F25" s="66">
        <f>INDEX(Machine_Master!$F:$F,MATCH(C25,Machine_Master!$B:$B,0))</f>
        <v>0.5</v>
      </c>
      <c r="G25" s="67">
        <f>Simple_Input!F27</f>
        <v>0</v>
      </c>
      <c r="H25" s="67">
        <f>Simple_Input!G27</f>
        <v>0</v>
      </c>
      <c r="I25" s="67">
        <f>Simple_Input!H27</f>
        <v>0</v>
      </c>
      <c r="J25" s="66">
        <f t="shared" si="0"/>
        <v>7.5</v>
      </c>
      <c r="K25" s="66">
        <f t="shared" si="1"/>
        <v>7.5</v>
      </c>
      <c r="L25" s="66">
        <f>INDEX(Machine_Master!$D:$D,MATCH(C25,Machine_Master!$B:$B,0))</f>
        <v>13.5</v>
      </c>
      <c r="M25" s="66">
        <f t="shared" si="2"/>
        <v>101.25</v>
      </c>
      <c r="N25" s="68"/>
      <c r="O25" s="68"/>
      <c r="P25" s="66"/>
      <c r="Q25" s="69">
        <f t="shared" si="3"/>
        <v>1</v>
      </c>
      <c r="R25" s="69">
        <f t="shared" si="4"/>
        <v>0</v>
      </c>
      <c r="S25" s="69">
        <f t="shared" si="5"/>
        <v>0</v>
      </c>
      <c r="T25" s="69">
        <f t="shared" si="6"/>
        <v>0</v>
      </c>
      <c r="U25" s="66"/>
    </row>
    <row r="26" spans="1:21" ht="18" customHeight="1" x14ac:dyDescent="0.25">
      <c r="A26" s="65">
        <f>Simple_Input!$E$1</f>
        <v>45748</v>
      </c>
      <c r="B26" s="66" t="str">
        <f>Simple_Input!A28</f>
        <v>POCKETED</v>
      </c>
      <c r="C26" s="66" t="str">
        <f>Simple_Input!B28</f>
        <v>LR-PS-VS</v>
      </c>
      <c r="D26" s="66" t="str">
        <f>Simple_Input!C28</f>
        <v>Night</v>
      </c>
      <c r="E26" s="66">
        <f>INDEX(Machine_Master!$E:$E,MATCH(C26,Machine_Master!$B:$B,0))</f>
        <v>8</v>
      </c>
      <c r="F26" s="66">
        <f>INDEX(Machine_Master!$F:$F,MATCH(C26,Machine_Master!$B:$B,0))</f>
        <v>0.5</v>
      </c>
      <c r="G26" s="67">
        <f>Simple_Input!F28</f>
        <v>0</v>
      </c>
      <c r="H26" s="67">
        <f>Simple_Input!G28</f>
        <v>0</v>
      </c>
      <c r="I26" s="67">
        <f>Simple_Input!H28</f>
        <v>0</v>
      </c>
      <c r="J26" s="66">
        <f t="shared" si="0"/>
        <v>7.5</v>
      </c>
      <c r="K26" s="66">
        <f t="shared" si="1"/>
        <v>7.5</v>
      </c>
      <c r="L26" s="66">
        <f>INDEX(Machine_Master!$D:$D,MATCH(C26,Machine_Master!$B:$B,0))</f>
        <v>9</v>
      </c>
      <c r="M26" s="66">
        <f t="shared" si="2"/>
        <v>67.5</v>
      </c>
      <c r="N26" s="68"/>
      <c r="O26" s="68"/>
      <c r="P26" s="66"/>
      <c r="Q26" s="69">
        <f t="shared" si="3"/>
        <v>1</v>
      </c>
      <c r="R26" s="69">
        <f t="shared" si="4"/>
        <v>0</v>
      </c>
      <c r="S26" s="69">
        <f t="shared" si="5"/>
        <v>0</v>
      </c>
      <c r="T26" s="69">
        <f t="shared" si="6"/>
        <v>0</v>
      </c>
      <c r="U26" s="66"/>
    </row>
    <row r="27" spans="1:21" ht="18" customHeight="1" x14ac:dyDescent="0.25">
      <c r="A27" s="65">
        <f>Simple_Input!$E$1</f>
        <v>45748</v>
      </c>
      <c r="B27" s="66" t="str">
        <f>Simple_Input!A29</f>
        <v>POCKETED</v>
      </c>
      <c r="C27" s="66" t="str">
        <f>Simple_Input!B29</f>
        <v>LR-PS-OV</v>
      </c>
      <c r="D27" s="66" t="str">
        <f>Simple_Input!C29</f>
        <v>Night</v>
      </c>
      <c r="E27" s="66">
        <f>INDEX(Machine_Master!$E:$E,MATCH(C27,Machine_Master!$B:$B,0))</f>
        <v>8</v>
      </c>
      <c r="F27" s="66">
        <f>INDEX(Machine_Master!$F:$F,MATCH(C27,Machine_Master!$B:$B,0))</f>
        <v>0.5</v>
      </c>
      <c r="G27" s="67">
        <f>Simple_Input!F29</f>
        <v>0</v>
      </c>
      <c r="H27" s="67">
        <f>Simple_Input!G29</f>
        <v>0</v>
      </c>
      <c r="I27" s="67">
        <f>Simple_Input!H29</f>
        <v>0</v>
      </c>
      <c r="J27" s="66">
        <f t="shared" si="0"/>
        <v>7.5</v>
      </c>
      <c r="K27" s="66">
        <f t="shared" si="1"/>
        <v>7.5</v>
      </c>
      <c r="L27" s="66">
        <f>INDEX(Machine_Master!$D:$D,MATCH(C27,Machine_Master!$B:$B,0))</f>
        <v>13.5</v>
      </c>
      <c r="M27" s="66">
        <f t="shared" si="2"/>
        <v>101.25</v>
      </c>
      <c r="N27" s="68"/>
      <c r="O27" s="68"/>
      <c r="P27" s="66"/>
      <c r="Q27" s="69">
        <f t="shared" si="3"/>
        <v>1</v>
      </c>
      <c r="R27" s="69">
        <f t="shared" si="4"/>
        <v>0</v>
      </c>
      <c r="S27" s="69">
        <f t="shared" si="5"/>
        <v>0</v>
      </c>
      <c r="T27" s="69">
        <f t="shared" si="6"/>
        <v>0</v>
      </c>
      <c r="U27" s="66"/>
    </row>
    <row r="28" spans="1:21" ht="18" customHeight="1" x14ac:dyDescent="0.25">
      <c r="A28" s="65">
        <f>Simple_Input!$E$1</f>
        <v>45748</v>
      </c>
      <c r="B28" s="66" t="str">
        <f>Simple_Input!A30</f>
        <v>QUILTING</v>
      </c>
      <c r="C28" s="66" t="str">
        <f>Simple_Input!B30</f>
        <v>PARAGON+</v>
      </c>
      <c r="D28" s="66" t="str">
        <f>Simple_Input!C30</f>
        <v>Night</v>
      </c>
      <c r="E28" s="66">
        <f>INDEX(Machine_Master!$E:$E,MATCH(C28,Machine_Master!$B:$B,0))</f>
        <v>8</v>
      </c>
      <c r="F28" s="66">
        <f>INDEX(Machine_Master!$F:$F,MATCH(C28,Machine_Master!$B:$B,0))</f>
        <v>0.5</v>
      </c>
      <c r="G28" s="67">
        <f>Simple_Input!F30</f>
        <v>0</v>
      </c>
      <c r="H28" s="67">
        <f>Simple_Input!G30</f>
        <v>0</v>
      </c>
      <c r="I28" s="67">
        <f>Simple_Input!H30</f>
        <v>0</v>
      </c>
      <c r="J28" s="66">
        <f t="shared" si="0"/>
        <v>7.5</v>
      </c>
      <c r="K28" s="66">
        <f t="shared" si="1"/>
        <v>7.5</v>
      </c>
      <c r="L28" s="66">
        <f>INDEX(Machine_Master!$D:$D,MATCH(C28,Machine_Master!$B:$B,0))</f>
        <v>93.75</v>
      </c>
      <c r="M28" s="66">
        <f t="shared" si="2"/>
        <v>703.125</v>
      </c>
      <c r="N28" s="68"/>
      <c r="O28" s="68"/>
      <c r="P28" s="66"/>
      <c r="Q28" s="69">
        <f t="shared" si="3"/>
        <v>1</v>
      </c>
      <c r="R28" s="69">
        <f t="shared" si="4"/>
        <v>0</v>
      </c>
      <c r="S28" s="69">
        <f t="shared" si="5"/>
        <v>0</v>
      </c>
      <c r="T28" s="69">
        <f t="shared" si="6"/>
        <v>0</v>
      </c>
      <c r="U28" s="66"/>
    </row>
    <row r="29" spans="1:21" ht="18" customHeight="1" x14ac:dyDescent="0.25">
      <c r="A29" s="65">
        <f>Simple_Input!$E$1</f>
        <v>45748</v>
      </c>
      <c r="B29" s="66" t="str">
        <f>Simple_Input!A31</f>
        <v>QUILTING</v>
      </c>
      <c r="C29" s="66" t="str">
        <f>Simple_Input!B31</f>
        <v>RELIANCE</v>
      </c>
      <c r="D29" s="66" t="str">
        <f>Simple_Input!C31</f>
        <v>Night</v>
      </c>
      <c r="E29" s="66">
        <f>INDEX(Machine_Master!$E:$E,MATCH(C29,Machine_Master!$B:$B,0))</f>
        <v>8</v>
      </c>
      <c r="F29" s="66">
        <f>INDEX(Machine_Master!$F:$F,MATCH(C29,Machine_Master!$B:$B,0))</f>
        <v>0.5</v>
      </c>
      <c r="G29" s="67">
        <f>Simple_Input!F31</f>
        <v>0</v>
      </c>
      <c r="H29" s="67">
        <f>Simple_Input!G31</f>
        <v>0</v>
      </c>
      <c r="I29" s="67">
        <f>Simple_Input!H31</f>
        <v>0</v>
      </c>
      <c r="J29" s="66">
        <f t="shared" si="0"/>
        <v>7.5</v>
      </c>
      <c r="K29" s="66">
        <f t="shared" si="1"/>
        <v>7.5</v>
      </c>
      <c r="L29" s="66">
        <f>INDEX(Machine_Master!$D:$D,MATCH(C29,Machine_Master!$B:$B,0))</f>
        <v>93.75</v>
      </c>
      <c r="M29" s="66">
        <f t="shared" si="2"/>
        <v>703.125</v>
      </c>
      <c r="N29" s="68"/>
      <c r="O29" s="68"/>
      <c r="P29" s="66"/>
      <c r="Q29" s="69">
        <f t="shared" si="3"/>
        <v>1</v>
      </c>
      <c r="R29" s="69">
        <f t="shared" si="4"/>
        <v>0</v>
      </c>
      <c r="S29" s="69">
        <f t="shared" si="5"/>
        <v>0</v>
      </c>
      <c r="T29" s="69">
        <f t="shared" si="6"/>
        <v>0</v>
      </c>
      <c r="U29" s="66"/>
    </row>
    <row r="30" spans="1:21" ht="18" customHeight="1" x14ac:dyDescent="0.25">
      <c r="A30" s="65">
        <f>Simple_Input!$E$1</f>
        <v>45748</v>
      </c>
      <c r="B30" s="66" t="str">
        <f>Simple_Input!A32</f>
        <v>QUILTING</v>
      </c>
      <c r="C30" s="66" t="str">
        <f>Simple_Input!B32</f>
        <v>EVEREN</v>
      </c>
      <c r="D30" s="66" t="str">
        <f>Simple_Input!C32</f>
        <v>Night</v>
      </c>
      <c r="E30" s="66">
        <f>INDEX(Machine_Master!$E:$E,MATCH(C30,Machine_Master!$B:$B,0))</f>
        <v>8</v>
      </c>
      <c r="F30" s="66">
        <f>INDEX(Machine_Master!$F:$F,MATCH(C30,Machine_Master!$B:$B,0))</f>
        <v>0.5</v>
      </c>
      <c r="G30" s="67">
        <f>Simple_Input!F32</f>
        <v>0</v>
      </c>
      <c r="H30" s="67">
        <f>Simple_Input!G32</f>
        <v>0</v>
      </c>
      <c r="I30" s="67">
        <f>Simple_Input!H32</f>
        <v>0</v>
      </c>
      <c r="J30" s="66">
        <f t="shared" si="0"/>
        <v>7.5</v>
      </c>
      <c r="K30" s="66">
        <f t="shared" si="1"/>
        <v>7.5</v>
      </c>
      <c r="L30" s="66">
        <f>INDEX(Machine_Master!$D:$D,MATCH(C30,Machine_Master!$B:$B,0))</f>
        <v>62.5</v>
      </c>
      <c r="M30" s="66">
        <f t="shared" si="2"/>
        <v>468.75</v>
      </c>
      <c r="N30" s="68"/>
      <c r="O30" s="68"/>
      <c r="P30" s="66"/>
      <c r="Q30" s="69">
        <f t="shared" si="3"/>
        <v>1</v>
      </c>
      <c r="R30" s="69">
        <f t="shared" si="4"/>
        <v>0</v>
      </c>
      <c r="S30" s="69">
        <f t="shared" si="5"/>
        <v>0</v>
      </c>
      <c r="T30" s="69">
        <f t="shared" si="6"/>
        <v>0</v>
      </c>
      <c r="U30" s="66"/>
    </row>
    <row r="31" spans="1:21" ht="18" customHeight="1" x14ac:dyDescent="0.25">
      <c r="A31" s="65">
        <f>Simple_Input!$E$1</f>
        <v>45748</v>
      </c>
      <c r="B31" s="66" t="str">
        <f>Simple_Input!A33</f>
        <v>TAPE EDGE</v>
      </c>
      <c r="C31" s="66" t="str">
        <f>Simple_Input!B33</f>
        <v>TAPE EDGE-1</v>
      </c>
      <c r="D31" s="66" t="str">
        <f>Simple_Input!C33</f>
        <v>Night</v>
      </c>
      <c r="E31" s="66">
        <f>INDEX(Machine_Master!$E:$E,MATCH(C31,Machine_Master!$B:$B,0))</f>
        <v>8</v>
      </c>
      <c r="F31" s="66">
        <f>INDEX(Machine_Master!$F:$F,MATCH(C31,Machine_Master!$B:$B,0))</f>
        <v>0.5</v>
      </c>
      <c r="G31" s="67">
        <f>Simple_Input!F33</f>
        <v>0</v>
      </c>
      <c r="H31" s="67">
        <f>Simple_Input!G33</f>
        <v>0</v>
      </c>
      <c r="I31" s="67">
        <f>Simple_Input!H33</f>
        <v>0</v>
      </c>
      <c r="J31" s="66">
        <f t="shared" si="0"/>
        <v>7.5</v>
      </c>
      <c r="K31" s="66">
        <f t="shared" si="1"/>
        <v>7.5</v>
      </c>
      <c r="L31" s="66">
        <f>INDEX(Machine_Master!$D:$D,MATCH(C31,Machine_Master!$B:$B,0))</f>
        <v>9.3800000000000008</v>
      </c>
      <c r="M31" s="66">
        <f t="shared" si="2"/>
        <v>70.350000000000009</v>
      </c>
      <c r="N31" s="68"/>
      <c r="O31" s="68"/>
      <c r="P31" s="66"/>
      <c r="Q31" s="69">
        <f t="shared" si="3"/>
        <v>1</v>
      </c>
      <c r="R31" s="69">
        <f t="shared" si="4"/>
        <v>0</v>
      </c>
      <c r="S31" s="69">
        <f t="shared" si="5"/>
        <v>0</v>
      </c>
      <c r="T31" s="69">
        <f t="shared" si="6"/>
        <v>0</v>
      </c>
      <c r="U31" s="66"/>
    </row>
    <row r="32" spans="1:21" ht="18" customHeight="1" x14ac:dyDescent="0.25">
      <c r="A32" s="65">
        <f>Simple_Input!$E$1</f>
        <v>45748</v>
      </c>
      <c r="B32" s="66" t="str">
        <f>Simple_Input!A34</f>
        <v>TAPE EDGE</v>
      </c>
      <c r="C32" s="66" t="str">
        <f>Simple_Input!B34</f>
        <v>TAPE EDGE-2</v>
      </c>
      <c r="D32" s="66" t="str">
        <f>Simple_Input!C34</f>
        <v>Night</v>
      </c>
      <c r="E32" s="66">
        <f>INDEX(Machine_Master!$E:$E,MATCH(C32,Machine_Master!$B:$B,0))</f>
        <v>8</v>
      </c>
      <c r="F32" s="66">
        <f>INDEX(Machine_Master!$F:$F,MATCH(C32,Machine_Master!$B:$B,0))</f>
        <v>0.5</v>
      </c>
      <c r="G32" s="67">
        <f>Simple_Input!F34</f>
        <v>0</v>
      </c>
      <c r="H32" s="67">
        <f>Simple_Input!G34</f>
        <v>0</v>
      </c>
      <c r="I32" s="67">
        <f>Simple_Input!H34</f>
        <v>0</v>
      </c>
      <c r="J32" s="66">
        <f t="shared" si="0"/>
        <v>7.5</v>
      </c>
      <c r="K32" s="66">
        <f t="shared" si="1"/>
        <v>7.5</v>
      </c>
      <c r="L32" s="66">
        <f>INDEX(Machine_Master!$D:$D,MATCH(C32,Machine_Master!$B:$B,0))</f>
        <v>9.3800000000000008</v>
      </c>
      <c r="M32" s="66">
        <f t="shared" si="2"/>
        <v>70.350000000000009</v>
      </c>
      <c r="N32" s="68"/>
      <c r="O32" s="68"/>
      <c r="P32" s="66"/>
      <c r="Q32" s="69">
        <f t="shared" si="3"/>
        <v>1</v>
      </c>
      <c r="R32" s="69">
        <f t="shared" si="4"/>
        <v>0</v>
      </c>
      <c r="S32" s="69">
        <f t="shared" si="5"/>
        <v>0</v>
      </c>
      <c r="T32" s="69">
        <f t="shared" si="6"/>
        <v>0</v>
      </c>
      <c r="U32" s="66"/>
    </row>
    <row r="33" spans="1:21" ht="18" customHeight="1" x14ac:dyDescent="0.25">
      <c r="A33" s="65">
        <f>Simple_Input!$E$1</f>
        <v>45748</v>
      </c>
      <c r="B33" s="66" t="str">
        <f>Simple_Input!A35</f>
        <v>TAPE EDGE</v>
      </c>
      <c r="C33" s="66" t="str">
        <f>Simple_Input!B35</f>
        <v>TAPE EDGE-3</v>
      </c>
      <c r="D33" s="66" t="str">
        <f>Simple_Input!C35</f>
        <v>Night</v>
      </c>
      <c r="E33" s="66">
        <f>INDEX(Machine_Master!$E:$E,MATCH(C33,Machine_Master!$B:$B,0))</f>
        <v>8</v>
      </c>
      <c r="F33" s="66">
        <f>INDEX(Machine_Master!$F:$F,MATCH(C33,Machine_Master!$B:$B,0))</f>
        <v>0.5</v>
      </c>
      <c r="G33" s="67">
        <f>Simple_Input!F35</f>
        <v>0</v>
      </c>
      <c r="H33" s="67">
        <f>Simple_Input!G35</f>
        <v>0</v>
      </c>
      <c r="I33" s="67">
        <f>Simple_Input!H35</f>
        <v>0</v>
      </c>
      <c r="J33" s="66">
        <f t="shared" si="0"/>
        <v>7.5</v>
      </c>
      <c r="K33" s="66">
        <f t="shared" si="1"/>
        <v>7.5</v>
      </c>
      <c r="L33" s="66">
        <f>INDEX(Machine_Master!$D:$D,MATCH(C33,Machine_Master!$B:$B,0))</f>
        <v>9.3800000000000008</v>
      </c>
      <c r="M33" s="66">
        <f t="shared" si="2"/>
        <v>70.350000000000009</v>
      </c>
      <c r="N33" s="68"/>
      <c r="O33" s="68"/>
      <c r="P33" s="66"/>
      <c r="Q33" s="69">
        <f t="shared" si="3"/>
        <v>1</v>
      </c>
      <c r="R33" s="69">
        <f t="shared" si="4"/>
        <v>0</v>
      </c>
      <c r="S33" s="69">
        <f t="shared" si="5"/>
        <v>0</v>
      </c>
      <c r="T33" s="69">
        <f t="shared" si="6"/>
        <v>0</v>
      </c>
      <c r="U33" s="66"/>
    </row>
    <row r="34" spans="1:21" ht="18" customHeight="1" x14ac:dyDescent="0.25">
      <c r="A34" s="65">
        <f>Simple_Input!$E$1</f>
        <v>45748</v>
      </c>
      <c r="B34" s="66" t="str">
        <f>Simple_Input!A36</f>
        <v>TAPE EDGE</v>
      </c>
      <c r="C34" s="66" t="str">
        <f>Simple_Input!B36</f>
        <v>TAPE EDGE-4</v>
      </c>
      <c r="D34" s="66" t="str">
        <f>Simple_Input!C36</f>
        <v>Night</v>
      </c>
      <c r="E34" s="66">
        <f>INDEX(Machine_Master!$E:$E,MATCH(C34,Machine_Master!$B:$B,0))</f>
        <v>8</v>
      </c>
      <c r="F34" s="66">
        <f>INDEX(Machine_Master!$F:$F,MATCH(C34,Machine_Master!$B:$B,0))</f>
        <v>0.5</v>
      </c>
      <c r="G34" s="67">
        <f>Simple_Input!F36</f>
        <v>0</v>
      </c>
      <c r="H34" s="67">
        <f>Simple_Input!G36</f>
        <v>0</v>
      </c>
      <c r="I34" s="67">
        <f>Simple_Input!H36</f>
        <v>0</v>
      </c>
      <c r="J34" s="66">
        <f t="shared" si="0"/>
        <v>7.5</v>
      </c>
      <c r="K34" s="66">
        <f t="shared" si="1"/>
        <v>7.5</v>
      </c>
      <c r="L34" s="66">
        <f>INDEX(Machine_Master!$D:$D,MATCH(C34,Machine_Master!$B:$B,0))</f>
        <v>9.3800000000000008</v>
      </c>
      <c r="M34" s="66">
        <f t="shared" si="2"/>
        <v>70.350000000000009</v>
      </c>
      <c r="N34" s="68"/>
      <c r="O34" s="68"/>
      <c r="P34" s="66"/>
      <c r="Q34" s="69">
        <f t="shared" si="3"/>
        <v>1</v>
      </c>
      <c r="R34" s="69">
        <f t="shared" si="4"/>
        <v>0</v>
      </c>
      <c r="S34" s="69">
        <f t="shared" si="5"/>
        <v>0</v>
      </c>
      <c r="T34" s="69">
        <f t="shared" si="6"/>
        <v>0</v>
      </c>
      <c r="U34" s="66"/>
    </row>
    <row r="35" spans="1:21" ht="18" customHeight="1" x14ac:dyDescent="0.25">
      <c r="A35" s="65">
        <f>Simple_Input!$E$1</f>
        <v>45748</v>
      </c>
      <c r="B35" s="66" t="str">
        <f>Simple_Input!A37</f>
        <v>TAPE EDGE</v>
      </c>
      <c r="C35" s="66" t="str">
        <f>Simple_Input!B37</f>
        <v>TAPE EDGE-5</v>
      </c>
      <c r="D35" s="66" t="str">
        <f>Simple_Input!C37</f>
        <v>Night</v>
      </c>
      <c r="E35" s="66">
        <f>INDEX(Machine_Master!$E:$E,MATCH(C35,Machine_Master!$B:$B,0))</f>
        <v>8</v>
      </c>
      <c r="F35" s="66">
        <f>INDEX(Machine_Master!$F:$F,MATCH(C35,Machine_Master!$B:$B,0))</f>
        <v>0.5</v>
      </c>
      <c r="G35" s="67">
        <f>Simple_Input!F37</f>
        <v>0</v>
      </c>
      <c r="H35" s="67">
        <f>Simple_Input!G37</f>
        <v>0</v>
      </c>
      <c r="I35" s="67">
        <f>Simple_Input!H37</f>
        <v>0</v>
      </c>
      <c r="J35" s="66">
        <f t="shared" si="0"/>
        <v>7.5</v>
      </c>
      <c r="K35" s="66">
        <f t="shared" si="1"/>
        <v>7.5</v>
      </c>
      <c r="L35" s="66">
        <f>INDEX(Machine_Master!$D:$D,MATCH(C35,Machine_Master!$B:$B,0))</f>
        <v>9.3800000000000008</v>
      </c>
      <c r="M35" s="66">
        <f t="shared" si="2"/>
        <v>70.350000000000009</v>
      </c>
      <c r="N35" s="68"/>
      <c r="O35" s="68"/>
      <c r="P35" s="66"/>
      <c r="Q35" s="69">
        <f t="shared" si="3"/>
        <v>1</v>
      </c>
      <c r="R35" s="69">
        <f t="shared" si="4"/>
        <v>0</v>
      </c>
      <c r="S35" s="69">
        <f t="shared" si="5"/>
        <v>0</v>
      </c>
      <c r="T35" s="69">
        <f t="shared" si="6"/>
        <v>0</v>
      </c>
      <c r="U35" s="66"/>
    </row>
    <row r="36" spans="1:21" ht="18" customHeight="1" x14ac:dyDescent="0.25">
      <c r="A36" s="65">
        <f>Simple_Input!$E$1</f>
        <v>45748</v>
      </c>
      <c r="B36" s="66" t="str">
        <f>Simple_Input!A38</f>
        <v>TAPE EDGE</v>
      </c>
      <c r="C36" s="66" t="str">
        <f>Simple_Input!B38</f>
        <v>TAPE EDGE-6</v>
      </c>
      <c r="D36" s="66" t="str">
        <f>Simple_Input!C38</f>
        <v>Night</v>
      </c>
      <c r="E36" s="66">
        <f>INDEX(Machine_Master!$E:$E,MATCH(C36,Machine_Master!$B:$B,0))</f>
        <v>8</v>
      </c>
      <c r="F36" s="66">
        <f>INDEX(Machine_Master!$F:$F,MATCH(C36,Machine_Master!$B:$B,0))</f>
        <v>0.5</v>
      </c>
      <c r="G36" s="67">
        <f>Simple_Input!F38</f>
        <v>0</v>
      </c>
      <c r="H36" s="67">
        <f>Simple_Input!G38</f>
        <v>0</v>
      </c>
      <c r="I36" s="67">
        <f>Simple_Input!H38</f>
        <v>0</v>
      </c>
      <c r="J36" s="66">
        <f t="shared" si="0"/>
        <v>7.5</v>
      </c>
      <c r="K36" s="66">
        <f t="shared" si="1"/>
        <v>7.5</v>
      </c>
      <c r="L36" s="66">
        <f>INDEX(Machine_Master!$D:$D,MATCH(C36,Machine_Master!$B:$B,0))</f>
        <v>9.3800000000000008</v>
      </c>
      <c r="M36" s="66">
        <f t="shared" si="2"/>
        <v>70.350000000000009</v>
      </c>
      <c r="N36" s="68"/>
      <c r="O36" s="68"/>
      <c r="P36" s="66"/>
      <c r="Q36" s="69">
        <f t="shared" si="3"/>
        <v>1</v>
      </c>
      <c r="R36" s="69">
        <f t="shared" si="4"/>
        <v>0</v>
      </c>
      <c r="S36" s="69">
        <f t="shared" si="5"/>
        <v>0</v>
      </c>
      <c r="T36" s="69">
        <f t="shared" si="6"/>
        <v>0</v>
      </c>
      <c r="U36" s="66"/>
    </row>
    <row r="37" spans="1:21" ht="18" customHeight="1" x14ac:dyDescent="0.25">
      <c r="A37" s="65">
        <f>Simple_Input!$E$1</f>
        <v>45748</v>
      </c>
      <c r="B37" s="66" t="str">
        <f>Simple_Input!A39</f>
        <v>TAPE EDGE</v>
      </c>
      <c r="C37" s="66" t="str">
        <f>Simple_Input!B39</f>
        <v>TAPE EDGE-7</v>
      </c>
      <c r="D37" s="66" t="str">
        <f>Simple_Input!C39</f>
        <v>Night</v>
      </c>
      <c r="E37" s="66">
        <f>INDEX(Machine_Master!$E:$E,MATCH(C37,Machine_Master!$B:$B,0))</f>
        <v>8</v>
      </c>
      <c r="F37" s="66">
        <f>INDEX(Machine_Master!$F:$F,MATCH(C37,Machine_Master!$B:$B,0))</f>
        <v>0.5</v>
      </c>
      <c r="G37" s="67">
        <f>Simple_Input!F39</f>
        <v>0</v>
      </c>
      <c r="H37" s="67">
        <f>Simple_Input!G39</f>
        <v>0</v>
      </c>
      <c r="I37" s="67">
        <f>Simple_Input!H39</f>
        <v>0</v>
      </c>
      <c r="J37" s="66">
        <f t="shared" si="0"/>
        <v>7.5</v>
      </c>
      <c r="K37" s="66">
        <f t="shared" si="1"/>
        <v>7.5</v>
      </c>
      <c r="L37" s="66">
        <f>INDEX(Machine_Master!$D:$D,MATCH(C37,Machine_Master!$B:$B,0))</f>
        <v>9.3800000000000008</v>
      </c>
      <c r="M37" s="66">
        <f t="shared" si="2"/>
        <v>70.350000000000009</v>
      </c>
      <c r="N37" s="68"/>
      <c r="O37" s="68"/>
      <c r="P37" s="66"/>
      <c r="Q37" s="69">
        <f t="shared" si="3"/>
        <v>1</v>
      </c>
      <c r="R37" s="69">
        <f t="shared" si="4"/>
        <v>0</v>
      </c>
      <c r="S37" s="69">
        <f t="shared" si="5"/>
        <v>0</v>
      </c>
      <c r="T37" s="69">
        <f t="shared" si="6"/>
        <v>0</v>
      </c>
      <c r="U37" s="66"/>
    </row>
    <row r="38" spans="1:21" ht="18" customHeight="1" x14ac:dyDescent="0.25">
      <c r="A38" s="65">
        <f>Simple_Input!$E$1</f>
        <v>45748</v>
      </c>
      <c r="B38" s="66" t="str">
        <f>Simple_Input!A40</f>
        <v>HYPNOS</v>
      </c>
      <c r="C38" s="66" t="str">
        <f>Simple_Input!B40</f>
        <v>TAPE EDGE -1</v>
      </c>
      <c r="D38" s="66" t="str">
        <f>Simple_Input!C40</f>
        <v>Night</v>
      </c>
      <c r="E38" s="66">
        <f>INDEX(Machine_Master!$E:$E,MATCH(C38,Machine_Master!$B:$B,0))</f>
        <v>8</v>
      </c>
      <c r="F38" s="66">
        <f>INDEX(Machine_Master!$F:$F,MATCH(C38,Machine_Master!$B:$B,0))</f>
        <v>0.5</v>
      </c>
      <c r="G38" s="67">
        <f>Simple_Input!F40</f>
        <v>0</v>
      </c>
      <c r="H38" s="67">
        <f>Simple_Input!G40</f>
        <v>0</v>
      </c>
      <c r="I38" s="67">
        <f>Simple_Input!H40</f>
        <v>0</v>
      </c>
      <c r="J38" s="66">
        <f t="shared" si="0"/>
        <v>7.5</v>
      </c>
      <c r="K38" s="66">
        <f t="shared" si="1"/>
        <v>7.5</v>
      </c>
      <c r="L38" s="66">
        <f>INDEX(Machine_Master!$D:$D,MATCH(C38,Machine_Master!$B:$B,0))</f>
        <v>9.3800000000000008</v>
      </c>
      <c r="M38" s="66">
        <f t="shared" si="2"/>
        <v>70.350000000000009</v>
      </c>
      <c r="N38" s="68"/>
      <c r="O38" s="68"/>
      <c r="P38" s="66"/>
      <c r="Q38" s="69">
        <f t="shared" si="3"/>
        <v>1</v>
      </c>
      <c r="R38" s="69">
        <f t="shared" si="4"/>
        <v>0</v>
      </c>
      <c r="S38" s="69">
        <f t="shared" si="5"/>
        <v>0</v>
      </c>
      <c r="T38" s="69">
        <f t="shared" si="6"/>
        <v>0</v>
      </c>
      <c r="U38" s="66"/>
    </row>
    <row r="39" spans="1:21" ht="18" customHeight="1" x14ac:dyDescent="0.25">
      <c r="A39" s="65">
        <f>Simple_Input!$E$1</f>
        <v>45748</v>
      </c>
      <c r="B39" s="66" t="str">
        <f>Simple_Input!A41</f>
        <v>HYPNOS</v>
      </c>
      <c r="C39" s="66" t="str">
        <f>Simple_Input!B41</f>
        <v>TAPE EDGE -2</v>
      </c>
      <c r="D39" s="66" t="str">
        <f>Simple_Input!C41</f>
        <v>Night</v>
      </c>
      <c r="E39" s="66">
        <f>INDEX(Machine_Master!$E:$E,MATCH(C39,Machine_Master!$B:$B,0))</f>
        <v>8</v>
      </c>
      <c r="F39" s="66">
        <f>INDEX(Machine_Master!$F:$F,MATCH(C39,Machine_Master!$B:$B,0))</f>
        <v>0.5</v>
      </c>
      <c r="G39" s="67">
        <f>Simple_Input!F41</f>
        <v>0</v>
      </c>
      <c r="H39" s="67">
        <f>Simple_Input!G41</f>
        <v>0</v>
      </c>
      <c r="I39" s="67">
        <f>Simple_Input!H41</f>
        <v>0</v>
      </c>
      <c r="J39" s="66">
        <f t="shared" si="0"/>
        <v>7.5</v>
      </c>
      <c r="K39" s="66">
        <f t="shared" si="1"/>
        <v>7.5</v>
      </c>
      <c r="L39" s="66">
        <f>INDEX(Machine_Master!$D:$D,MATCH(C39,Machine_Master!$B:$B,0))</f>
        <v>9.3800000000000008</v>
      </c>
      <c r="M39" s="66">
        <f t="shared" si="2"/>
        <v>70.350000000000009</v>
      </c>
      <c r="N39" s="68"/>
      <c r="O39" s="68"/>
      <c r="P39" s="66"/>
      <c r="Q39" s="69">
        <f t="shared" si="3"/>
        <v>1</v>
      </c>
      <c r="R39" s="69">
        <f t="shared" si="4"/>
        <v>0</v>
      </c>
      <c r="S39" s="69">
        <f t="shared" si="5"/>
        <v>0</v>
      </c>
      <c r="T39" s="69">
        <f t="shared" si="6"/>
        <v>0</v>
      </c>
      <c r="U39" s="66"/>
    </row>
  </sheetData>
  <conditionalFormatting sqref="T2:T2000">
    <cfRule type="cellIs" dxfId="2" priority="2" operator="lessThan">
      <formula>0.6</formula>
    </cfRule>
    <cfRule type="expression" dxfId="1" priority="3">
      <formula>AND(T2&gt;=0.6,T2&lt;0.75)</formula>
    </cfRule>
    <cfRule type="cellIs" dxfId="0" priority="4" operator="greaterThanOrEqual">
      <formula>0.75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U462"/>
  <sheetViews>
    <sheetView zoomScaleNormal="100" workbookViewId="0">
      <pane ySplit="2" topLeftCell="A3" activePane="bottomLeft" state="frozen"/>
      <selection pane="bottomLeft" activeCell="D13" sqref="D13"/>
    </sheetView>
  </sheetViews>
  <sheetFormatPr defaultColWidth="8.7109375" defaultRowHeight="15" x14ac:dyDescent="0.25"/>
  <cols>
    <col min="1" max="1" width="13" customWidth="1"/>
    <col min="2" max="2" width="14" customWidth="1"/>
    <col min="3" max="3" width="16" customWidth="1"/>
    <col min="4" max="20" width="14" customWidth="1"/>
    <col min="21" max="21" width="22" customWidth="1"/>
  </cols>
  <sheetData>
    <row r="1" spans="1:21" ht="39.75" customHeight="1" x14ac:dyDescent="0.25">
      <c r="A1" s="64" t="s">
        <v>191</v>
      </c>
      <c r="B1" s="64" t="s">
        <v>120</v>
      </c>
      <c r="C1" s="64" t="s">
        <v>121</v>
      </c>
      <c r="D1" s="64" t="s">
        <v>192</v>
      </c>
      <c r="E1" s="64" t="s">
        <v>193</v>
      </c>
      <c r="F1" s="64" t="s">
        <v>194</v>
      </c>
      <c r="G1" s="64" t="s">
        <v>195</v>
      </c>
      <c r="H1" s="64" t="s">
        <v>196</v>
      </c>
      <c r="I1" s="64" t="s">
        <v>197</v>
      </c>
      <c r="J1" s="64" t="s">
        <v>198</v>
      </c>
      <c r="K1" s="64" t="s">
        <v>199</v>
      </c>
      <c r="L1" s="64" t="s">
        <v>123</v>
      </c>
      <c r="M1" s="64" t="s">
        <v>200</v>
      </c>
      <c r="N1" s="64" t="s">
        <v>201</v>
      </c>
      <c r="O1" s="64" t="s">
        <v>202</v>
      </c>
      <c r="P1" s="64" t="s">
        <v>203</v>
      </c>
      <c r="Q1" s="64" t="s">
        <v>204</v>
      </c>
      <c r="R1" s="64" t="s">
        <v>205</v>
      </c>
      <c r="S1" s="64" t="s">
        <v>206</v>
      </c>
      <c r="T1" s="64" t="s">
        <v>189</v>
      </c>
      <c r="U1" s="64" t="s">
        <v>207</v>
      </c>
    </row>
    <row r="2" spans="1:21" ht="90" customHeight="1" x14ac:dyDescent="0.25">
      <c r="A2" s="98" t="s">
        <v>208</v>
      </c>
      <c r="B2" s="98"/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</row>
    <row r="3" spans="1:21" ht="30" customHeight="1" x14ac:dyDescent="0.25">
      <c r="A3" s="99" t="s">
        <v>209</v>
      </c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</row>
    <row r="4" spans="1:21" ht="15.75" customHeight="1" x14ac:dyDescent="0.25">
      <c r="A4" s="70"/>
      <c r="B4" s="71"/>
      <c r="C4" s="72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</row>
    <row r="5" spans="1:21" ht="15.75" customHeight="1" x14ac:dyDescent="0.25">
      <c r="A5" s="73"/>
      <c r="B5" s="74"/>
      <c r="C5" s="75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</row>
    <row r="6" spans="1:21" ht="15.75" customHeight="1" x14ac:dyDescent="0.25">
      <c r="A6" s="70"/>
      <c r="B6" s="71"/>
      <c r="C6" s="72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</row>
    <row r="7" spans="1:21" ht="15.75" customHeight="1" x14ac:dyDescent="0.25">
      <c r="A7" s="73"/>
      <c r="B7" s="74"/>
      <c r="C7" s="75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</row>
    <row r="8" spans="1:21" ht="15.75" customHeight="1" x14ac:dyDescent="0.25">
      <c r="A8" s="70"/>
      <c r="B8" s="71"/>
      <c r="C8" s="72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</row>
    <row r="9" spans="1:21" ht="15.75" customHeight="1" x14ac:dyDescent="0.25">
      <c r="A9" s="73"/>
      <c r="B9" s="74"/>
      <c r="C9" s="75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</row>
    <row r="10" spans="1:21" ht="15.75" customHeight="1" x14ac:dyDescent="0.25">
      <c r="A10" s="70"/>
      <c r="B10" s="71"/>
      <c r="C10" s="72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</row>
    <row r="11" spans="1:21" ht="15.75" customHeight="1" x14ac:dyDescent="0.25">
      <c r="A11" s="73"/>
      <c r="B11" s="74"/>
      <c r="C11" s="75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</row>
    <row r="12" spans="1:21" ht="15.75" customHeight="1" x14ac:dyDescent="0.25">
      <c r="A12" s="70"/>
      <c r="B12" s="71"/>
      <c r="C12" s="72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71"/>
      <c r="O12" s="71"/>
    </row>
    <row r="13" spans="1:21" ht="15.75" customHeight="1" x14ac:dyDescent="0.25">
      <c r="A13" s="73"/>
      <c r="B13" s="74"/>
      <c r="C13" s="75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</row>
    <row r="14" spans="1:21" ht="15.75" customHeight="1" x14ac:dyDescent="0.25">
      <c r="A14" s="70"/>
      <c r="B14" s="71"/>
      <c r="C14" s="72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</row>
    <row r="15" spans="1:21" ht="15.75" customHeight="1" x14ac:dyDescent="0.25">
      <c r="A15" s="73"/>
      <c r="B15" s="74"/>
      <c r="C15" s="75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</row>
    <row r="16" spans="1:21" ht="15.75" customHeight="1" x14ac:dyDescent="0.25">
      <c r="A16" s="70"/>
      <c r="B16" s="71"/>
      <c r="C16" s="72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</row>
    <row r="17" spans="1:15" ht="15.75" customHeight="1" x14ac:dyDescent="0.25">
      <c r="A17" s="73"/>
      <c r="B17" s="74"/>
      <c r="C17" s="75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</row>
    <row r="18" spans="1:15" ht="15.75" customHeight="1" x14ac:dyDescent="0.25">
      <c r="A18" s="70"/>
      <c r="B18" s="71"/>
      <c r="C18" s="72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</row>
    <row r="19" spans="1:15" ht="15.75" customHeight="1" x14ac:dyDescent="0.25">
      <c r="A19" s="73"/>
      <c r="B19" s="74"/>
      <c r="C19" s="75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</row>
    <row r="20" spans="1:15" ht="15.75" customHeight="1" x14ac:dyDescent="0.25">
      <c r="A20" s="70"/>
      <c r="B20" s="71"/>
      <c r="C20" s="72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</row>
    <row r="21" spans="1:15" ht="15.75" customHeight="1" x14ac:dyDescent="0.25">
      <c r="A21" s="73"/>
      <c r="B21" s="74"/>
      <c r="C21" s="75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</row>
    <row r="22" spans="1:15" ht="15.75" customHeight="1" x14ac:dyDescent="0.25">
      <c r="A22" s="70"/>
      <c r="B22" s="71"/>
      <c r="C22" s="72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</row>
    <row r="23" spans="1:15" ht="15.75" customHeight="1" x14ac:dyDescent="0.25">
      <c r="A23" s="73"/>
      <c r="B23" s="74"/>
      <c r="C23" s="75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</row>
    <row r="24" spans="1:15" ht="15.75" customHeight="1" x14ac:dyDescent="0.25">
      <c r="A24" s="70"/>
      <c r="B24" s="71"/>
      <c r="C24" s="72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</row>
    <row r="25" spans="1:15" ht="15.75" customHeight="1" x14ac:dyDescent="0.25">
      <c r="A25" s="73"/>
      <c r="B25" s="74"/>
      <c r="C25" s="75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</row>
    <row r="26" spans="1:15" ht="15.75" customHeight="1" x14ac:dyDescent="0.25">
      <c r="A26" s="70"/>
      <c r="B26" s="71"/>
      <c r="C26" s="72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</row>
    <row r="27" spans="1:15" ht="15.75" customHeight="1" x14ac:dyDescent="0.25">
      <c r="A27" s="73"/>
      <c r="B27" s="74"/>
      <c r="C27" s="75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</row>
    <row r="28" spans="1:15" ht="15.75" customHeight="1" x14ac:dyDescent="0.25">
      <c r="A28" s="70"/>
      <c r="B28" s="71"/>
      <c r="C28" s="72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</row>
    <row r="29" spans="1:15" ht="15.75" customHeight="1" x14ac:dyDescent="0.25">
      <c r="A29" s="73"/>
      <c r="B29" s="74"/>
      <c r="C29" s="75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</row>
    <row r="30" spans="1:15" ht="15.75" customHeight="1" x14ac:dyDescent="0.25">
      <c r="A30" s="70"/>
      <c r="B30" s="71"/>
      <c r="C30" s="72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</row>
    <row r="31" spans="1:15" ht="15.75" customHeight="1" x14ac:dyDescent="0.25">
      <c r="A31" s="73"/>
      <c r="B31" s="74"/>
      <c r="C31" s="75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</row>
    <row r="32" spans="1:15" ht="15.75" customHeight="1" x14ac:dyDescent="0.25">
      <c r="A32" s="70"/>
      <c r="B32" s="71"/>
      <c r="C32" s="72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</row>
    <row r="33" spans="1:15" ht="15.75" customHeight="1" x14ac:dyDescent="0.25">
      <c r="A33" s="73"/>
      <c r="B33" s="74"/>
      <c r="C33" s="75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</row>
    <row r="34" spans="1:15" ht="15.75" customHeight="1" x14ac:dyDescent="0.25">
      <c r="A34" s="70"/>
      <c r="B34" s="71"/>
      <c r="C34" s="72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</row>
    <row r="35" spans="1:15" ht="15.75" customHeight="1" x14ac:dyDescent="0.25">
      <c r="A35" s="73"/>
      <c r="B35" s="74"/>
      <c r="C35" s="75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</row>
    <row r="36" spans="1:15" ht="15.75" customHeight="1" x14ac:dyDescent="0.25">
      <c r="A36" s="70"/>
      <c r="B36" s="71"/>
      <c r="C36" s="72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</row>
    <row r="37" spans="1:15" ht="15.75" customHeight="1" x14ac:dyDescent="0.25">
      <c r="A37" s="73"/>
      <c r="B37" s="74"/>
      <c r="C37" s="75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</row>
    <row r="38" spans="1:15" ht="15.75" customHeight="1" x14ac:dyDescent="0.25">
      <c r="A38" s="70"/>
      <c r="B38" s="71"/>
      <c r="C38" s="72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</row>
    <row r="39" spans="1:15" ht="15.75" customHeight="1" x14ac:dyDescent="0.25">
      <c r="A39" s="73"/>
      <c r="B39" s="74"/>
      <c r="C39" s="75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</row>
    <row r="40" spans="1:15" ht="15.75" customHeight="1" x14ac:dyDescent="0.25">
      <c r="A40" s="70"/>
      <c r="B40" s="71"/>
      <c r="C40" s="72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</row>
    <row r="41" spans="1:15" ht="15.75" customHeight="1" x14ac:dyDescent="0.25">
      <c r="A41" s="73"/>
      <c r="B41" s="74"/>
      <c r="C41" s="75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</row>
    <row r="42" spans="1:15" ht="15.75" customHeight="1" x14ac:dyDescent="0.25">
      <c r="A42" s="70"/>
      <c r="B42" s="71"/>
      <c r="C42" s="72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</row>
    <row r="43" spans="1:15" ht="15.75" customHeight="1" x14ac:dyDescent="0.25">
      <c r="A43" s="73"/>
      <c r="B43" s="74"/>
      <c r="C43" s="75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</row>
    <row r="44" spans="1:15" ht="15.75" customHeight="1" x14ac:dyDescent="0.25">
      <c r="A44" s="70"/>
      <c r="B44" s="71"/>
      <c r="C44" s="72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</row>
    <row r="45" spans="1:15" ht="15.75" customHeight="1" x14ac:dyDescent="0.25">
      <c r="A45" s="73"/>
      <c r="B45" s="74"/>
      <c r="C45" s="75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</row>
    <row r="46" spans="1:15" ht="15.75" customHeight="1" x14ac:dyDescent="0.25">
      <c r="A46" s="70"/>
      <c r="B46" s="71"/>
      <c r="C46" s="72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</row>
    <row r="47" spans="1:15" ht="15.75" customHeight="1" x14ac:dyDescent="0.25">
      <c r="A47" s="73"/>
      <c r="B47" s="74"/>
      <c r="C47" s="75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</row>
    <row r="48" spans="1:15" ht="15.75" customHeight="1" x14ac:dyDescent="0.25">
      <c r="A48" s="70"/>
      <c r="B48" s="71"/>
      <c r="C48" s="72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</row>
    <row r="49" spans="1:15" ht="15.75" customHeight="1" x14ac:dyDescent="0.25">
      <c r="A49" s="73"/>
      <c r="B49" s="74"/>
      <c r="C49" s="75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</row>
    <row r="50" spans="1:15" ht="15.75" customHeight="1" x14ac:dyDescent="0.25">
      <c r="A50" s="70"/>
      <c r="B50" s="71"/>
      <c r="C50" s="72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</row>
    <row r="51" spans="1:15" ht="15.75" customHeight="1" x14ac:dyDescent="0.25">
      <c r="A51" s="73"/>
      <c r="B51" s="74"/>
      <c r="C51" s="75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</row>
    <row r="52" spans="1:15" ht="15.75" customHeight="1" x14ac:dyDescent="0.25">
      <c r="A52" s="70"/>
      <c r="B52" s="71"/>
      <c r="C52" s="72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</row>
    <row r="53" spans="1:15" ht="15.75" customHeight="1" x14ac:dyDescent="0.25">
      <c r="A53" s="73"/>
      <c r="B53" s="74"/>
      <c r="C53" s="75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</row>
    <row r="54" spans="1:15" ht="15.75" customHeight="1" x14ac:dyDescent="0.25">
      <c r="A54" s="70"/>
      <c r="B54" s="71"/>
      <c r="C54" s="72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</row>
    <row r="55" spans="1:15" ht="15.75" customHeight="1" x14ac:dyDescent="0.25">
      <c r="A55" s="73"/>
      <c r="B55" s="74"/>
      <c r="C55" s="75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</row>
    <row r="56" spans="1:15" ht="15.75" customHeight="1" x14ac:dyDescent="0.25">
      <c r="A56" s="70"/>
      <c r="B56" s="71"/>
      <c r="C56" s="72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</row>
    <row r="57" spans="1:15" ht="15.75" customHeight="1" x14ac:dyDescent="0.25">
      <c r="A57" s="73"/>
      <c r="B57" s="74"/>
      <c r="C57" s="75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</row>
    <row r="58" spans="1:15" ht="15.75" customHeight="1" x14ac:dyDescent="0.25">
      <c r="A58" s="70"/>
      <c r="B58" s="71"/>
      <c r="C58" s="72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</row>
    <row r="59" spans="1:15" ht="15.75" customHeight="1" x14ac:dyDescent="0.25">
      <c r="A59" s="73"/>
      <c r="B59" s="74"/>
      <c r="C59" s="75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</row>
    <row r="60" spans="1:15" ht="15.75" customHeight="1" x14ac:dyDescent="0.25">
      <c r="A60" s="70"/>
      <c r="B60" s="71"/>
      <c r="C60" s="72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</row>
    <row r="61" spans="1:15" ht="15.75" customHeight="1" x14ac:dyDescent="0.25">
      <c r="A61" s="73"/>
      <c r="B61" s="74"/>
      <c r="C61" s="75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</row>
    <row r="62" spans="1:15" ht="15.75" customHeight="1" x14ac:dyDescent="0.25">
      <c r="A62" s="70"/>
      <c r="B62" s="71"/>
      <c r="C62" s="72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</row>
    <row r="63" spans="1:15" ht="15.75" customHeight="1" x14ac:dyDescent="0.25">
      <c r="A63" s="73"/>
      <c r="B63" s="74"/>
      <c r="C63" s="75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</row>
    <row r="64" spans="1:15" ht="15.75" customHeight="1" x14ac:dyDescent="0.25">
      <c r="A64" s="70"/>
      <c r="B64" s="71"/>
      <c r="C64" s="72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</row>
    <row r="65" spans="1:15" ht="15.75" customHeight="1" x14ac:dyDescent="0.25">
      <c r="A65" s="73"/>
      <c r="B65" s="74"/>
      <c r="C65" s="75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</row>
    <row r="66" spans="1:15" ht="15.75" customHeight="1" x14ac:dyDescent="0.25">
      <c r="A66" s="70"/>
      <c r="B66" s="71"/>
      <c r="C66" s="72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</row>
    <row r="67" spans="1:15" ht="15.75" customHeight="1" x14ac:dyDescent="0.25">
      <c r="A67" s="73"/>
      <c r="B67" s="74"/>
      <c r="C67" s="75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</row>
    <row r="68" spans="1:15" ht="15.75" customHeight="1" x14ac:dyDescent="0.25">
      <c r="A68" s="70"/>
      <c r="B68" s="71"/>
      <c r="C68" s="72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</row>
    <row r="69" spans="1:15" ht="15.75" customHeight="1" x14ac:dyDescent="0.25">
      <c r="A69" s="73"/>
      <c r="B69" s="74"/>
      <c r="C69" s="75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</row>
    <row r="70" spans="1:15" ht="15.75" customHeight="1" x14ac:dyDescent="0.25">
      <c r="A70" s="70"/>
      <c r="B70" s="71"/>
      <c r="C70" s="72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</row>
    <row r="71" spans="1:15" ht="15.75" customHeight="1" x14ac:dyDescent="0.25">
      <c r="A71" s="73"/>
      <c r="B71" s="74"/>
      <c r="C71" s="75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</row>
    <row r="72" spans="1:15" ht="15.75" customHeight="1" x14ac:dyDescent="0.25">
      <c r="A72" s="70"/>
      <c r="B72" s="71"/>
      <c r="C72" s="72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</row>
    <row r="73" spans="1:15" ht="15.75" customHeight="1" x14ac:dyDescent="0.25">
      <c r="A73" s="73"/>
      <c r="B73" s="74"/>
      <c r="C73" s="75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</row>
    <row r="74" spans="1:15" ht="15.75" customHeight="1" x14ac:dyDescent="0.25">
      <c r="A74" s="70"/>
      <c r="B74" s="71"/>
      <c r="C74" s="72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</row>
    <row r="75" spans="1:15" ht="15.75" customHeight="1" x14ac:dyDescent="0.25">
      <c r="A75" s="73"/>
      <c r="B75" s="74"/>
      <c r="C75" s="75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</row>
    <row r="76" spans="1:15" ht="15.75" customHeight="1" x14ac:dyDescent="0.25">
      <c r="A76" s="70"/>
      <c r="B76" s="71"/>
      <c r="C76" s="72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</row>
    <row r="77" spans="1:15" ht="15.75" customHeight="1" x14ac:dyDescent="0.25">
      <c r="A77" s="73"/>
      <c r="B77" s="74"/>
      <c r="C77" s="75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</row>
    <row r="78" spans="1:15" ht="15.75" customHeight="1" x14ac:dyDescent="0.25">
      <c r="A78" s="70"/>
      <c r="B78" s="71"/>
      <c r="C78" s="72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</row>
    <row r="79" spans="1:15" ht="15.75" customHeight="1" x14ac:dyDescent="0.25">
      <c r="A79" s="73"/>
      <c r="B79" s="74"/>
      <c r="C79" s="75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</row>
    <row r="80" spans="1:15" ht="15.75" customHeight="1" x14ac:dyDescent="0.25">
      <c r="A80" s="70"/>
      <c r="B80" s="71"/>
      <c r="C80" s="72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</row>
    <row r="81" spans="1:15" ht="15.75" customHeight="1" x14ac:dyDescent="0.25">
      <c r="A81" s="73"/>
      <c r="B81" s="74"/>
      <c r="C81" s="75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</row>
    <row r="82" spans="1:15" ht="15.75" customHeight="1" x14ac:dyDescent="0.25">
      <c r="A82" s="70"/>
      <c r="B82" s="71"/>
      <c r="C82" s="72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</row>
    <row r="83" spans="1:15" ht="15.75" customHeight="1" x14ac:dyDescent="0.25">
      <c r="A83" s="73"/>
      <c r="B83" s="74"/>
      <c r="C83" s="75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</row>
    <row r="84" spans="1:15" ht="15.75" customHeight="1" x14ac:dyDescent="0.25">
      <c r="A84" s="70"/>
      <c r="B84" s="71"/>
      <c r="C84" s="72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</row>
    <row r="85" spans="1:15" ht="15.75" customHeight="1" x14ac:dyDescent="0.25">
      <c r="A85" s="73"/>
      <c r="B85" s="74"/>
      <c r="C85" s="75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</row>
    <row r="86" spans="1:15" ht="15.75" customHeight="1" x14ac:dyDescent="0.25">
      <c r="A86" s="70"/>
      <c r="B86" s="71"/>
      <c r="C86" s="72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</row>
    <row r="87" spans="1:15" ht="15.75" customHeight="1" x14ac:dyDescent="0.25">
      <c r="A87" s="73"/>
      <c r="B87" s="74"/>
      <c r="C87" s="75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</row>
    <row r="88" spans="1:15" ht="15.75" customHeight="1" x14ac:dyDescent="0.25">
      <c r="A88" s="70"/>
      <c r="B88" s="71"/>
      <c r="C88" s="72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</row>
    <row r="89" spans="1:15" ht="15.75" customHeight="1" x14ac:dyDescent="0.25">
      <c r="A89" s="73"/>
      <c r="B89" s="74"/>
      <c r="C89" s="75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</row>
    <row r="90" spans="1:15" ht="15.75" customHeight="1" x14ac:dyDescent="0.25">
      <c r="A90" s="70"/>
      <c r="B90" s="71"/>
      <c r="C90" s="72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</row>
    <row r="91" spans="1:15" ht="15.75" customHeight="1" x14ac:dyDescent="0.25">
      <c r="A91" s="73"/>
      <c r="B91" s="74"/>
      <c r="C91" s="75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</row>
    <row r="92" spans="1:15" ht="15.75" customHeight="1" x14ac:dyDescent="0.25">
      <c r="A92" s="70"/>
      <c r="B92" s="71"/>
      <c r="C92" s="72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</row>
    <row r="93" spans="1:15" ht="15.75" customHeight="1" x14ac:dyDescent="0.25">
      <c r="A93" s="73"/>
      <c r="B93" s="74"/>
      <c r="C93" s="75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</row>
    <row r="94" spans="1:15" ht="15.75" customHeight="1" x14ac:dyDescent="0.25">
      <c r="A94" s="70"/>
      <c r="B94" s="71"/>
      <c r="C94" s="72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</row>
    <row r="95" spans="1:15" ht="15.75" customHeight="1" x14ac:dyDescent="0.25">
      <c r="A95" s="73"/>
      <c r="B95" s="74"/>
      <c r="C95" s="75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</row>
    <row r="96" spans="1:15" ht="15.75" customHeight="1" x14ac:dyDescent="0.25">
      <c r="A96" s="70"/>
      <c r="B96" s="71"/>
      <c r="C96" s="72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</row>
    <row r="97" spans="1:15" ht="15.75" customHeight="1" x14ac:dyDescent="0.25">
      <c r="A97" s="73"/>
      <c r="B97" s="74"/>
      <c r="C97" s="75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</row>
    <row r="98" spans="1:15" ht="15.75" customHeight="1" x14ac:dyDescent="0.25">
      <c r="A98" s="70"/>
      <c r="B98" s="71"/>
      <c r="C98" s="72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</row>
    <row r="99" spans="1:15" ht="15.75" customHeight="1" x14ac:dyDescent="0.25">
      <c r="A99" s="73"/>
      <c r="B99" s="74"/>
      <c r="C99" s="75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</row>
    <row r="100" spans="1:15" ht="15.75" customHeight="1" x14ac:dyDescent="0.25">
      <c r="A100" s="70"/>
      <c r="B100" s="71"/>
      <c r="C100" s="72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</row>
    <row r="101" spans="1:15" ht="15.75" customHeight="1" x14ac:dyDescent="0.25">
      <c r="A101" s="73"/>
      <c r="B101" s="74"/>
      <c r="C101" s="75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</row>
    <row r="102" spans="1:15" ht="15.75" customHeight="1" x14ac:dyDescent="0.25">
      <c r="A102" s="70"/>
      <c r="B102" s="71"/>
      <c r="C102" s="72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</row>
    <row r="103" spans="1:15" ht="15.75" customHeight="1" x14ac:dyDescent="0.25">
      <c r="A103" s="73"/>
      <c r="B103" s="74"/>
      <c r="C103" s="75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</row>
    <row r="104" spans="1:15" ht="15.75" customHeight="1" x14ac:dyDescent="0.25">
      <c r="A104" s="70"/>
      <c r="B104" s="71"/>
      <c r="C104" s="72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</row>
    <row r="105" spans="1:15" ht="15.75" customHeight="1" x14ac:dyDescent="0.25">
      <c r="A105" s="73"/>
      <c r="B105" s="74"/>
      <c r="C105" s="75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</row>
    <row r="106" spans="1:15" ht="15.75" customHeight="1" x14ac:dyDescent="0.25">
      <c r="A106" s="70"/>
      <c r="B106" s="71"/>
      <c r="C106" s="72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</row>
    <row r="107" spans="1:15" ht="15.75" customHeight="1" x14ac:dyDescent="0.25">
      <c r="A107" s="73"/>
      <c r="B107" s="74"/>
      <c r="C107" s="75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</row>
    <row r="108" spans="1:15" ht="15.75" customHeight="1" x14ac:dyDescent="0.25">
      <c r="A108" s="70"/>
      <c r="B108" s="71"/>
      <c r="C108" s="72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</row>
    <row r="109" spans="1:15" ht="15.75" customHeight="1" x14ac:dyDescent="0.25">
      <c r="A109" s="73"/>
      <c r="B109" s="74"/>
      <c r="C109" s="75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</row>
    <row r="110" spans="1:15" ht="15.75" customHeight="1" x14ac:dyDescent="0.25">
      <c r="A110" s="70"/>
      <c r="B110" s="71"/>
      <c r="C110" s="72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</row>
    <row r="111" spans="1:15" ht="15.75" customHeight="1" x14ac:dyDescent="0.25">
      <c r="A111" s="73"/>
      <c r="B111" s="74"/>
      <c r="C111" s="75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</row>
    <row r="112" spans="1:15" ht="15.75" customHeight="1" x14ac:dyDescent="0.25">
      <c r="A112" s="70"/>
      <c r="B112" s="71"/>
      <c r="C112" s="72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</row>
    <row r="113" spans="1:15" ht="15.75" customHeight="1" x14ac:dyDescent="0.25">
      <c r="A113" s="73"/>
      <c r="B113" s="74"/>
      <c r="C113" s="75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</row>
    <row r="114" spans="1:15" ht="15.75" customHeight="1" x14ac:dyDescent="0.25">
      <c r="A114" s="70"/>
      <c r="B114" s="71"/>
      <c r="C114" s="72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</row>
    <row r="115" spans="1:15" ht="15.75" customHeight="1" x14ac:dyDescent="0.25">
      <c r="A115" s="73"/>
      <c r="B115" s="74"/>
      <c r="C115" s="75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</row>
    <row r="116" spans="1:15" ht="15.75" customHeight="1" x14ac:dyDescent="0.25">
      <c r="A116" s="70"/>
      <c r="B116" s="71"/>
      <c r="C116" s="72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</row>
    <row r="117" spans="1:15" ht="15.75" customHeight="1" x14ac:dyDescent="0.25">
      <c r="A117" s="73"/>
      <c r="B117" s="74"/>
      <c r="C117" s="75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</row>
    <row r="118" spans="1:15" ht="15.75" customHeight="1" x14ac:dyDescent="0.25">
      <c r="A118" s="70"/>
      <c r="B118" s="71"/>
      <c r="C118" s="72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</row>
    <row r="119" spans="1:15" ht="15.75" customHeight="1" x14ac:dyDescent="0.25">
      <c r="A119" s="73"/>
      <c r="B119" s="74"/>
      <c r="C119" s="75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</row>
    <row r="120" spans="1:15" ht="15.75" customHeight="1" x14ac:dyDescent="0.25">
      <c r="A120" s="70"/>
      <c r="B120" s="71"/>
      <c r="C120" s="72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</row>
    <row r="121" spans="1:15" ht="15.75" customHeight="1" x14ac:dyDescent="0.25">
      <c r="A121" s="73"/>
      <c r="B121" s="74"/>
      <c r="C121" s="75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</row>
    <row r="122" spans="1:15" ht="15.75" customHeight="1" x14ac:dyDescent="0.25">
      <c r="A122" s="70"/>
      <c r="B122" s="71"/>
      <c r="C122" s="72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</row>
    <row r="123" spans="1:15" ht="15.75" customHeight="1" x14ac:dyDescent="0.25">
      <c r="A123" s="73"/>
      <c r="B123" s="74"/>
      <c r="C123" s="75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</row>
    <row r="124" spans="1:15" ht="15.75" customHeight="1" x14ac:dyDescent="0.25">
      <c r="A124" s="70"/>
      <c r="B124" s="71"/>
      <c r="C124" s="72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</row>
    <row r="125" spans="1:15" ht="15.75" customHeight="1" x14ac:dyDescent="0.25">
      <c r="A125" s="73"/>
      <c r="B125" s="74"/>
      <c r="C125" s="75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</row>
    <row r="126" spans="1:15" ht="15.75" customHeight="1" x14ac:dyDescent="0.25">
      <c r="A126" s="70"/>
      <c r="B126" s="71"/>
      <c r="C126" s="72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</row>
    <row r="127" spans="1:15" ht="15.75" customHeight="1" x14ac:dyDescent="0.25">
      <c r="A127" s="73"/>
      <c r="B127" s="74"/>
      <c r="C127" s="75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</row>
    <row r="128" spans="1:15" ht="15.75" customHeight="1" x14ac:dyDescent="0.25">
      <c r="A128" s="70"/>
      <c r="B128" s="71"/>
      <c r="C128" s="72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</row>
    <row r="129" spans="1:15" ht="15.75" customHeight="1" x14ac:dyDescent="0.25">
      <c r="A129" s="73"/>
      <c r="B129" s="74"/>
      <c r="C129" s="75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</row>
    <row r="130" spans="1:15" ht="15.75" customHeight="1" x14ac:dyDescent="0.25">
      <c r="A130" s="70"/>
      <c r="B130" s="71"/>
      <c r="C130" s="72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</row>
    <row r="131" spans="1:15" ht="15.75" customHeight="1" x14ac:dyDescent="0.25">
      <c r="A131" s="73"/>
      <c r="B131" s="74"/>
      <c r="C131" s="75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</row>
    <row r="132" spans="1:15" ht="15.75" customHeight="1" x14ac:dyDescent="0.25">
      <c r="A132" s="70"/>
      <c r="B132" s="71"/>
      <c r="C132" s="72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</row>
    <row r="133" spans="1:15" ht="15.75" customHeight="1" x14ac:dyDescent="0.25">
      <c r="A133" s="73"/>
      <c r="B133" s="74"/>
      <c r="C133" s="75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</row>
    <row r="134" spans="1:15" ht="15.75" customHeight="1" x14ac:dyDescent="0.25">
      <c r="A134" s="70"/>
      <c r="B134" s="71"/>
      <c r="C134" s="72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</row>
    <row r="135" spans="1:15" ht="15.75" customHeight="1" x14ac:dyDescent="0.25">
      <c r="A135" s="73"/>
      <c r="B135" s="74"/>
      <c r="C135" s="75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</row>
    <row r="136" spans="1:15" ht="15.75" customHeight="1" x14ac:dyDescent="0.25">
      <c r="A136" s="70"/>
      <c r="B136" s="71"/>
      <c r="C136" s="72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</row>
    <row r="137" spans="1:15" ht="15.75" customHeight="1" x14ac:dyDescent="0.25">
      <c r="A137" s="73"/>
      <c r="B137" s="74"/>
      <c r="C137" s="75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</row>
    <row r="138" spans="1:15" ht="15.75" customHeight="1" x14ac:dyDescent="0.25">
      <c r="A138" s="70"/>
      <c r="B138" s="71"/>
      <c r="C138" s="72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</row>
    <row r="139" spans="1:15" ht="15.75" customHeight="1" x14ac:dyDescent="0.25">
      <c r="A139" s="73"/>
      <c r="B139" s="74"/>
      <c r="C139" s="75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</row>
    <row r="140" spans="1:15" ht="15.75" customHeight="1" x14ac:dyDescent="0.25">
      <c r="A140" s="70"/>
      <c r="B140" s="71"/>
      <c r="C140" s="72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</row>
    <row r="141" spans="1:15" ht="15.75" customHeight="1" x14ac:dyDescent="0.25">
      <c r="A141" s="73"/>
      <c r="B141" s="74"/>
      <c r="C141" s="75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</row>
    <row r="142" spans="1:15" ht="15.75" customHeight="1" x14ac:dyDescent="0.25">
      <c r="A142" s="70"/>
      <c r="B142" s="71"/>
      <c r="C142" s="72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</row>
    <row r="143" spans="1:15" ht="15.75" customHeight="1" x14ac:dyDescent="0.25">
      <c r="A143" s="73"/>
      <c r="B143" s="74"/>
      <c r="C143" s="75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</row>
    <row r="144" spans="1:15" ht="15.75" customHeight="1" x14ac:dyDescent="0.25">
      <c r="A144" s="70"/>
      <c r="B144" s="71"/>
      <c r="C144" s="72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</row>
    <row r="145" spans="1:15" ht="15.75" customHeight="1" x14ac:dyDescent="0.25">
      <c r="A145" s="73"/>
      <c r="B145" s="74"/>
      <c r="C145" s="75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</row>
    <row r="146" spans="1:15" ht="15.75" customHeight="1" x14ac:dyDescent="0.25">
      <c r="A146" s="70"/>
      <c r="B146" s="71"/>
      <c r="C146" s="72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</row>
    <row r="147" spans="1:15" ht="15.75" customHeight="1" x14ac:dyDescent="0.25">
      <c r="A147" s="73"/>
      <c r="B147" s="74"/>
      <c r="C147" s="75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</row>
    <row r="148" spans="1:15" ht="15.75" customHeight="1" x14ac:dyDescent="0.25">
      <c r="A148" s="70"/>
      <c r="B148" s="71"/>
      <c r="C148" s="72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</row>
    <row r="149" spans="1:15" ht="15.75" customHeight="1" x14ac:dyDescent="0.25">
      <c r="A149" s="73"/>
      <c r="B149" s="74"/>
      <c r="C149" s="75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</row>
    <row r="150" spans="1:15" ht="15.75" customHeight="1" x14ac:dyDescent="0.25">
      <c r="A150" s="70"/>
      <c r="B150" s="71"/>
      <c r="C150" s="72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</row>
    <row r="151" spans="1:15" ht="15.75" customHeight="1" x14ac:dyDescent="0.25">
      <c r="A151" s="73"/>
      <c r="B151" s="74"/>
      <c r="C151" s="75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</row>
    <row r="152" spans="1:15" ht="15.75" customHeight="1" x14ac:dyDescent="0.25">
      <c r="A152" s="70"/>
      <c r="B152" s="71"/>
      <c r="C152" s="72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</row>
    <row r="153" spans="1:15" ht="15.75" customHeight="1" x14ac:dyDescent="0.25">
      <c r="A153" s="73"/>
      <c r="B153" s="74"/>
      <c r="C153" s="75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</row>
    <row r="154" spans="1:15" ht="15.75" customHeight="1" x14ac:dyDescent="0.25">
      <c r="A154" s="70"/>
      <c r="B154" s="71"/>
      <c r="C154" s="72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</row>
    <row r="155" spans="1:15" ht="15.75" customHeight="1" x14ac:dyDescent="0.25">
      <c r="A155" s="73"/>
      <c r="B155" s="74"/>
      <c r="C155" s="75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</row>
    <row r="156" spans="1:15" ht="15.75" customHeight="1" x14ac:dyDescent="0.25">
      <c r="A156" s="70"/>
      <c r="B156" s="71"/>
      <c r="C156" s="72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</row>
    <row r="157" spans="1:15" ht="15.75" customHeight="1" x14ac:dyDescent="0.25">
      <c r="A157" s="73"/>
      <c r="B157" s="74"/>
      <c r="C157" s="75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</row>
    <row r="158" spans="1:15" ht="15.75" customHeight="1" x14ac:dyDescent="0.25">
      <c r="A158" s="70"/>
      <c r="B158" s="71"/>
      <c r="C158" s="72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</row>
    <row r="159" spans="1:15" ht="15.75" customHeight="1" x14ac:dyDescent="0.25">
      <c r="A159" s="73"/>
      <c r="B159" s="74"/>
      <c r="C159" s="75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</row>
    <row r="160" spans="1:15" ht="15.75" customHeight="1" x14ac:dyDescent="0.25">
      <c r="A160" s="70"/>
      <c r="B160" s="71"/>
      <c r="C160" s="72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</row>
    <row r="161" spans="1:15" ht="15.75" customHeight="1" x14ac:dyDescent="0.25">
      <c r="A161" s="73"/>
      <c r="B161" s="74"/>
      <c r="C161" s="75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</row>
    <row r="162" spans="1:15" ht="15.75" customHeight="1" x14ac:dyDescent="0.25">
      <c r="A162" s="70"/>
      <c r="B162" s="71"/>
      <c r="C162" s="72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</row>
    <row r="163" spans="1:15" ht="15.75" customHeight="1" x14ac:dyDescent="0.25">
      <c r="A163" s="73"/>
      <c r="B163" s="74"/>
      <c r="C163" s="75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</row>
    <row r="164" spans="1:15" ht="15.75" customHeight="1" x14ac:dyDescent="0.25">
      <c r="A164" s="70"/>
      <c r="B164" s="71"/>
      <c r="C164" s="72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</row>
    <row r="165" spans="1:15" ht="15.75" customHeight="1" x14ac:dyDescent="0.25">
      <c r="A165" s="73"/>
      <c r="B165" s="74"/>
      <c r="C165" s="75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</row>
    <row r="166" spans="1:15" ht="15.75" customHeight="1" x14ac:dyDescent="0.25">
      <c r="A166" s="70"/>
      <c r="B166" s="71"/>
      <c r="C166" s="72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</row>
    <row r="167" spans="1:15" ht="15.75" customHeight="1" x14ac:dyDescent="0.25">
      <c r="A167" s="73"/>
      <c r="B167" s="74"/>
      <c r="C167" s="75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</row>
    <row r="168" spans="1:15" ht="15.75" customHeight="1" x14ac:dyDescent="0.25">
      <c r="A168" s="70"/>
      <c r="B168" s="71"/>
      <c r="C168" s="72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</row>
    <row r="169" spans="1:15" ht="15.75" customHeight="1" x14ac:dyDescent="0.25">
      <c r="A169" s="73"/>
      <c r="B169" s="74"/>
      <c r="C169" s="75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</row>
    <row r="170" spans="1:15" ht="15.75" customHeight="1" x14ac:dyDescent="0.25">
      <c r="A170" s="70"/>
      <c r="B170" s="71"/>
      <c r="C170" s="72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</row>
    <row r="171" spans="1:15" ht="15.75" customHeight="1" x14ac:dyDescent="0.25">
      <c r="A171" s="73"/>
      <c r="B171" s="74"/>
      <c r="C171" s="75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</row>
    <row r="172" spans="1:15" ht="15.75" customHeight="1" x14ac:dyDescent="0.25">
      <c r="A172" s="70"/>
      <c r="B172" s="71"/>
      <c r="C172" s="72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</row>
    <row r="173" spans="1:15" ht="15.75" customHeight="1" x14ac:dyDescent="0.25">
      <c r="A173" s="73"/>
      <c r="B173" s="74"/>
      <c r="C173" s="75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</row>
    <row r="174" spans="1:15" ht="15.75" customHeight="1" x14ac:dyDescent="0.25">
      <c r="A174" s="70"/>
      <c r="B174" s="71"/>
      <c r="C174" s="72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</row>
    <row r="175" spans="1:15" ht="15.75" customHeight="1" x14ac:dyDescent="0.25">
      <c r="A175" s="73"/>
      <c r="B175" s="74"/>
      <c r="C175" s="75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</row>
    <row r="176" spans="1:15" ht="15.75" customHeight="1" x14ac:dyDescent="0.25">
      <c r="A176" s="70"/>
      <c r="B176" s="71"/>
      <c r="C176" s="72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</row>
    <row r="177" spans="1:15" ht="15.75" customHeight="1" x14ac:dyDescent="0.25">
      <c r="A177" s="73"/>
      <c r="B177" s="74"/>
      <c r="C177" s="75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</row>
    <row r="178" spans="1:15" ht="15.75" customHeight="1" x14ac:dyDescent="0.25">
      <c r="A178" s="70"/>
      <c r="B178" s="71"/>
      <c r="C178" s="72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</row>
    <row r="179" spans="1:15" ht="15.75" customHeight="1" x14ac:dyDescent="0.25">
      <c r="A179" s="73"/>
      <c r="B179" s="74"/>
      <c r="C179" s="75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</row>
    <row r="180" spans="1:15" ht="15.75" customHeight="1" x14ac:dyDescent="0.25">
      <c r="A180" s="70"/>
      <c r="B180" s="71"/>
      <c r="C180" s="72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</row>
    <row r="181" spans="1:15" ht="15.75" customHeight="1" x14ac:dyDescent="0.25">
      <c r="A181" s="73"/>
      <c r="B181" s="74"/>
      <c r="C181" s="75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</row>
    <row r="182" spans="1:15" ht="15.75" customHeight="1" x14ac:dyDescent="0.25">
      <c r="A182" s="70"/>
      <c r="B182" s="71"/>
      <c r="C182" s="72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</row>
    <row r="183" spans="1:15" ht="15.75" customHeight="1" x14ac:dyDescent="0.25">
      <c r="A183" s="73"/>
      <c r="B183" s="74"/>
      <c r="C183" s="75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</row>
    <row r="184" spans="1:15" ht="15.75" customHeight="1" x14ac:dyDescent="0.25">
      <c r="A184" s="70"/>
      <c r="B184" s="71"/>
      <c r="C184" s="72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</row>
    <row r="185" spans="1:15" ht="15.75" customHeight="1" x14ac:dyDescent="0.25">
      <c r="A185" s="73"/>
      <c r="B185" s="74"/>
      <c r="C185" s="75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</row>
    <row r="186" spans="1:15" ht="15.75" customHeight="1" x14ac:dyDescent="0.25">
      <c r="A186" s="70"/>
      <c r="B186" s="71"/>
      <c r="C186" s="72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</row>
    <row r="187" spans="1:15" ht="15.75" customHeight="1" x14ac:dyDescent="0.25">
      <c r="A187" s="73"/>
      <c r="B187" s="74"/>
      <c r="C187" s="75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</row>
    <row r="188" spans="1:15" ht="15.75" customHeight="1" x14ac:dyDescent="0.25">
      <c r="A188" s="70"/>
      <c r="B188" s="71"/>
      <c r="C188" s="72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</row>
    <row r="189" spans="1:15" ht="15.75" customHeight="1" x14ac:dyDescent="0.25">
      <c r="A189" s="73"/>
      <c r="B189" s="74"/>
      <c r="C189" s="75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</row>
    <row r="190" spans="1:15" ht="15.75" customHeight="1" x14ac:dyDescent="0.25">
      <c r="A190" s="70"/>
      <c r="B190" s="71"/>
      <c r="C190" s="72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</row>
    <row r="191" spans="1:15" ht="15.75" customHeight="1" x14ac:dyDescent="0.25">
      <c r="A191" s="73"/>
      <c r="B191" s="74"/>
      <c r="C191" s="75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</row>
    <row r="192" spans="1:15" ht="15.75" customHeight="1" x14ac:dyDescent="0.25">
      <c r="A192" s="70"/>
      <c r="B192" s="71"/>
      <c r="C192" s="72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</row>
    <row r="193" spans="1:15" ht="15.75" customHeight="1" x14ac:dyDescent="0.25">
      <c r="A193" s="73"/>
      <c r="B193" s="74"/>
      <c r="C193" s="75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</row>
    <row r="194" spans="1:15" ht="15.75" customHeight="1" x14ac:dyDescent="0.25">
      <c r="A194" s="70"/>
      <c r="B194" s="71"/>
      <c r="C194" s="72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</row>
    <row r="195" spans="1:15" ht="15.75" customHeight="1" x14ac:dyDescent="0.25">
      <c r="A195" s="73"/>
      <c r="B195" s="74"/>
      <c r="C195" s="75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</row>
    <row r="196" spans="1:15" ht="15.75" customHeight="1" x14ac:dyDescent="0.25">
      <c r="A196" s="70"/>
      <c r="B196" s="71"/>
      <c r="C196" s="72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</row>
    <row r="197" spans="1:15" ht="15.75" customHeight="1" x14ac:dyDescent="0.25">
      <c r="A197" s="73"/>
      <c r="B197" s="74"/>
      <c r="C197" s="75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</row>
    <row r="198" spans="1:15" ht="15.75" customHeight="1" x14ac:dyDescent="0.25">
      <c r="A198" s="70"/>
      <c r="B198" s="71"/>
      <c r="C198" s="72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</row>
    <row r="199" spans="1:15" ht="15.75" customHeight="1" x14ac:dyDescent="0.25">
      <c r="A199" s="73"/>
      <c r="B199" s="74"/>
      <c r="C199" s="75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</row>
    <row r="200" spans="1:15" ht="15.75" customHeight="1" x14ac:dyDescent="0.25">
      <c r="A200" s="70"/>
      <c r="B200" s="71"/>
      <c r="C200" s="72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</row>
    <row r="201" spans="1:15" ht="15.75" customHeight="1" x14ac:dyDescent="0.25">
      <c r="A201" s="73"/>
      <c r="B201" s="74"/>
      <c r="C201" s="75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</row>
    <row r="202" spans="1:15" ht="15.75" customHeight="1" x14ac:dyDescent="0.25">
      <c r="A202" s="70"/>
      <c r="B202" s="71"/>
      <c r="C202" s="72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</row>
    <row r="203" spans="1:15" ht="15.75" customHeight="1" x14ac:dyDescent="0.25">
      <c r="A203" s="73"/>
      <c r="B203" s="74"/>
      <c r="C203" s="75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</row>
    <row r="204" spans="1:15" ht="15.75" customHeight="1" x14ac:dyDescent="0.25">
      <c r="A204" s="70"/>
      <c r="B204" s="71"/>
      <c r="C204" s="72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</row>
    <row r="205" spans="1:15" ht="15.75" customHeight="1" x14ac:dyDescent="0.25">
      <c r="A205" s="73"/>
      <c r="B205" s="74"/>
      <c r="C205" s="75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</row>
    <row r="206" spans="1:15" ht="15.75" customHeight="1" x14ac:dyDescent="0.25">
      <c r="A206" s="70"/>
      <c r="B206" s="71"/>
      <c r="C206" s="72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</row>
    <row r="207" spans="1:15" ht="15.75" customHeight="1" x14ac:dyDescent="0.25">
      <c r="A207" s="73"/>
      <c r="B207" s="74"/>
      <c r="C207" s="75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</row>
    <row r="208" spans="1:15" ht="15.75" customHeight="1" x14ac:dyDescent="0.25">
      <c r="A208" s="70"/>
      <c r="B208" s="71"/>
      <c r="C208" s="72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</row>
    <row r="209" spans="1:15" ht="15.75" customHeight="1" x14ac:dyDescent="0.25">
      <c r="A209" s="73"/>
      <c r="B209" s="74"/>
      <c r="C209" s="75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</row>
    <row r="210" spans="1:15" ht="15.75" customHeight="1" x14ac:dyDescent="0.25">
      <c r="A210" s="70"/>
      <c r="B210" s="71"/>
      <c r="C210" s="72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</row>
    <row r="211" spans="1:15" ht="15.75" customHeight="1" x14ac:dyDescent="0.25">
      <c r="A211" s="73"/>
      <c r="B211" s="74"/>
      <c r="C211" s="75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</row>
    <row r="212" spans="1:15" ht="15.75" customHeight="1" x14ac:dyDescent="0.25">
      <c r="A212" s="70"/>
      <c r="B212" s="71"/>
      <c r="C212" s="72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</row>
    <row r="213" spans="1:15" ht="15.75" customHeight="1" x14ac:dyDescent="0.25">
      <c r="A213" s="73"/>
      <c r="B213" s="74"/>
      <c r="C213" s="75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</row>
    <row r="214" spans="1:15" ht="15.75" customHeight="1" x14ac:dyDescent="0.25">
      <c r="A214" s="70"/>
      <c r="B214" s="71"/>
      <c r="C214" s="72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</row>
    <row r="215" spans="1:15" ht="15.75" customHeight="1" x14ac:dyDescent="0.25">
      <c r="A215" s="73"/>
      <c r="B215" s="74"/>
      <c r="C215" s="75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</row>
    <row r="216" spans="1:15" ht="15.75" customHeight="1" x14ac:dyDescent="0.25">
      <c r="A216" s="70"/>
      <c r="B216" s="71"/>
      <c r="C216" s="72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</row>
    <row r="217" spans="1:15" ht="15.75" customHeight="1" x14ac:dyDescent="0.25">
      <c r="A217" s="73"/>
      <c r="B217" s="74"/>
      <c r="C217" s="75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</row>
    <row r="218" spans="1:15" ht="15.75" customHeight="1" x14ac:dyDescent="0.25">
      <c r="A218" s="70"/>
      <c r="B218" s="71"/>
      <c r="C218" s="72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</row>
    <row r="219" spans="1:15" ht="15.75" customHeight="1" x14ac:dyDescent="0.25">
      <c r="A219" s="73"/>
      <c r="B219" s="74"/>
      <c r="C219" s="75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</row>
    <row r="220" spans="1:15" ht="15.75" customHeight="1" x14ac:dyDescent="0.25">
      <c r="A220" s="70"/>
      <c r="B220" s="71"/>
      <c r="C220" s="72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</row>
    <row r="221" spans="1:15" ht="15.75" customHeight="1" x14ac:dyDescent="0.25">
      <c r="A221" s="73"/>
      <c r="B221" s="74"/>
      <c r="C221" s="75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</row>
    <row r="222" spans="1:15" ht="15.75" customHeight="1" x14ac:dyDescent="0.25">
      <c r="A222" s="70"/>
      <c r="B222" s="71"/>
      <c r="C222" s="72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</row>
    <row r="223" spans="1:15" ht="15.75" customHeight="1" x14ac:dyDescent="0.25">
      <c r="A223" s="73"/>
      <c r="B223" s="74"/>
      <c r="C223" s="75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</row>
    <row r="224" spans="1:15" ht="15.75" customHeight="1" x14ac:dyDescent="0.25">
      <c r="A224" s="70"/>
      <c r="B224" s="71"/>
      <c r="C224" s="72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</row>
    <row r="225" spans="1:15" ht="15.75" customHeight="1" x14ac:dyDescent="0.25">
      <c r="A225" s="73"/>
      <c r="B225" s="74"/>
      <c r="C225" s="75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</row>
    <row r="226" spans="1:15" ht="15.75" customHeight="1" x14ac:dyDescent="0.25">
      <c r="A226" s="70"/>
      <c r="B226" s="71"/>
      <c r="C226" s="72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</row>
    <row r="227" spans="1:15" ht="15.75" customHeight="1" x14ac:dyDescent="0.25">
      <c r="A227" s="73"/>
      <c r="B227" s="74"/>
      <c r="C227" s="75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</row>
    <row r="228" spans="1:15" ht="15.75" customHeight="1" x14ac:dyDescent="0.25">
      <c r="A228" s="70"/>
      <c r="B228" s="71"/>
      <c r="C228" s="72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</row>
    <row r="229" spans="1:15" ht="15.75" customHeight="1" x14ac:dyDescent="0.25">
      <c r="A229" s="73"/>
      <c r="B229" s="74"/>
      <c r="C229" s="75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</row>
    <row r="230" spans="1:15" ht="15.75" customHeight="1" x14ac:dyDescent="0.25">
      <c r="A230" s="70"/>
      <c r="B230" s="71"/>
      <c r="C230" s="72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</row>
    <row r="231" spans="1:15" ht="15.75" customHeight="1" x14ac:dyDescent="0.25">
      <c r="A231" s="73"/>
      <c r="B231" s="74"/>
      <c r="C231" s="75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</row>
    <row r="232" spans="1:15" ht="15.75" customHeight="1" x14ac:dyDescent="0.25">
      <c r="A232" s="70"/>
      <c r="B232" s="71"/>
      <c r="C232" s="72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</row>
    <row r="233" spans="1:15" ht="15.75" customHeight="1" x14ac:dyDescent="0.25">
      <c r="A233" s="73"/>
      <c r="B233" s="74"/>
      <c r="C233" s="75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</row>
    <row r="234" spans="1:15" ht="15.75" customHeight="1" x14ac:dyDescent="0.25">
      <c r="A234" s="70"/>
      <c r="B234" s="71"/>
      <c r="C234" s="72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</row>
    <row r="235" spans="1:15" ht="15.75" customHeight="1" x14ac:dyDescent="0.25">
      <c r="A235" s="73"/>
      <c r="B235" s="74"/>
      <c r="C235" s="75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</row>
    <row r="236" spans="1:15" ht="15.75" customHeight="1" x14ac:dyDescent="0.25">
      <c r="A236" s="70"/>
      <c r="B236" s="71"/>
      <c r="C236" s="72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</row>
    <row r="237" spans="1:15" ht="15.75" customHeight="1" x14ac:dyDescent="0.25">
      <c r="A237" s="73"/>
      <c r="B237" s="74"/>
      <c r="C237" s="75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</row>
    <row r="238" spans="1:15" ht="15.75" customHeight="1" x14ac:dyDescent="0.25">
      <c r="A238" s="70"/>
      <c r="B238" s="71"/>
      <c r="C238" s="72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</row>
    <row r="239" spans="1:15" ht="15.75" customHeight="1" x14ac:dyDescent="0.25">
      <c r="A239" s="73"/>
      <c r="B239" s="74"/>
      <c r="C239" s="75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</row>
    <row r="240" spans="1:15" ht="15.75" customHeight="1" x14ac:dyDescent="0.25">
      <c r="A240" s="70"/>
      <c r="B240" s="71"/>
      <c r="C240" s="72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</row>
    <row r="241" spans="1:15" ht="15.75" customHeight="1" x14ac:dyDescent="0.25">
      <c r="A241" s="73"/>
      <c r="B241" s="74"/>
      <c r="C241" s="75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</row>
    <row r="242" spans="1:15" ht="15.75" customHeight="1" x14ac:dyDescent="0.25">
      <c r="A242" s="70"/>
      <c r="B242" s="71"/>
      <c r="C242" s="72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</row>
    <row r="243" spans="1:15" ht="15.75" customHeight="1" x14ac:dyDescent="0.25">
      <c r="A243" s="73"/>
      <c r="B243" s="74"/>
      <c r="C243" s="75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</row>
    <row r="244" spans="1:15" ht="15.75" customHeight="1" x14ac:dyDescent="0.25">
      <c r="A244" s="70"/>
      <c r="B244" s="71"/>
      <c r="C244" s="72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</row>
    <row r="245" spans="1:15" ht="15.75" customHeight="1" x14ac:dyDescent="0.25">
      <c r="A245" s="73"/>
      <c r="B245" s="74"/>
      <c r="C245" s="75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</row>
    <row r="246" spans="1:15" ht="15.75" customHeight="1" x14ac:dyDescent="0.25">
      <c r="A246" s="70"/>
      <c r="B246" s="71"/>
      <c r="C246" s="72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</row>
    <row r="247" spans="1:15" ht="15.75" customHeight="1" x14ac:dyDescent="0.25">
      <c r="A247" s="73"/>
      <c r="B247" s="74"/>
      <c r="C247" s="75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</row>
    <row r="248" spans="1:15" ht="15.75" customHeight="1" x14ac:dyDescent="0.25">
      <c r="A248" s="70"/>
      <c r="B248" s="71"/>
      <c r="C248" s="72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</row>
    <row r="249" spans="1:15" ht="15.75" customHeight="1" x14ac:dyDescent="0.25">
      <c r="A249" s="73"/>
      <c r="B249" s="74"/>
      <c r="C249" s="75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</row>
    <row r="250" spans="1:15" ht="15.75" customHeight="1" x14ac:dyDescent="0.25">
      <c r="A250" s="70"/>
      <c r="B250" s="71"/>
      <c r="C250" s="72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</row>
    <row r="251" spans="1:15" ht="15.75" customHeight="1" x14ac:dyDescent="0.25">
      <c r="A251" s="73"/>
      <c r="B251" s="74"/>
      <c r="C251" s="75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</row>
    <row r="252" spans="1:15" ht="15.75" customHeight="1" x14ac:dyDescent="0.25">
      <c r="A252" s="70"/>
      <c r="B252" s="71"/>
      <c r="C252" s="72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</row>
    <row r="253" spans="1:15" ht="15.75" customHeight="1" x14ac:dyDescent="0.25">
      <c r="A253" s="73"/>
      <c r="B253" s="74"/>
      <c r="C253" s="75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</row>
    <row r="254" spans="1:15" ht="15.75" customHeight="1" x14ac:dyDescent="0.25">
      <c r="A254" s="70"/>
      <c r="B254" s="71"/>
      <c r="C254" s="72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</row>
    <row r="255" spans="1:15" ht="15.75" customHeight="1" x14ac:dyDescent="0.25">
      <c r="A255" s="73"/>
      <c r="B255" s="74"/>
      <c r="C255" s="75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</row>
    <row r="256" spans="1:15" ht="15.75" customHeight="1" x14ac:dyDescent="0.25">
      <c r="A256" s="70"/>
      <c r="B256" s="71"/>
      <c r="C256" s="72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</row>
    <row r="257" spans="1:15" ht="15.75" customHeight="1" x14ac:dyDescent="0.25">
      <c r="A257" s="73"/>
      <c r="B257" s="74"/>
      <c r="C257" s="75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</row>
    <row r="258" spans="1:15" ht="15.75" customHeight="1" x14ac:dyDescent="0.25">
      <c r="A258" s="70"/>
      <c r="B258" s="71"/>
      <c r="C258" s="72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</row>
    <row r="259" spans="1:15" ht="15.75" customHeight="1" x14ac:dyDescent="0.25">
      <c r="A259" s="73"/>
      <c r="B259" s="74"/>
      <c r="C259" s="75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</row>
    <row r="260" spans="1:15" ht="15.75" customHeight="1" x14ac:dyDescent="0.25">
      <c r="A260" s="70"/>
      <c r="B260" s="71"/>
      <c r="C260" s="72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</row>
    <row r="261" spans="1:15" ht="15.75" customHeight="1" x14ac:dyDescent="0.25">
      <c r="A261" s="73"/>
      <c r="B261" s="74"/>
      <c r="C261" s="75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</row>
    <row r="262" spans="1:15" ht="15.75" customHeight="1" x14ac:dyDescent="0.25">
      <c r="A262" s="70"/>
      <c r="B262" s="71"/>
      <c r="C262" s="72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</row>
    <row r="263" spans="1:15" ht="15.75" customHeight="1" x14ac:dyDescent="0.25">
      <c r="A263" s="73"/>
      <c r="B263" s="74"/>
      <c r="C263" s="75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</row>
    <row r="264" spans="1:15" ht="15.75" customHeight="1" x14ac:dyDescent="0.25">
      <c r="A264" s="70"/>
      <c r="B264" s="71"/>
      <c r="C264" s="72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</row>
    <row r="265" spans="1:15" ht="15.75" customHeight="1" x14ac:dyDescent="0.25">
      <c r="A265" s="73"/>
      <c r="B265" s="74"/>
      <c r="C265" s="75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</row>
    <row r="266" spans="1:15" ht="15.75" customHeight="1" x14ac:dyDescent="0.25">
      <c r="A266" s="70"/>
      <c r="B266" s="71"/>
      <c r="C266" s="72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</row>
    <row r="267" spans="1:15" ht="15.75" customHeight="1" x14ac:dyDescent="0.25">
      <c r="A267" s="73"/>
      <c r="B267" s="74"/>
      <c r="C267" s="75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</row>
    <row r="268" spans="1:15" ht="15.75" customHeight="1" x14ac:dyDescent="0.25">
      <c r="A268" s="70"/>
      <c r="B268" s="71"/>
      <c r="C268" s="72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</row>
    <row r="269" spans="1:15" ht="15.75" customHeight="1" x14ac:dyDescent="0.25">
      <c r="A269" s="73"/>
      <c r="B269" s="74"/>
      <c r="C269" s="75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</row>
    <row r="270" spans="1:15" ht="15.75" customHeight="1" x14ac:dyDescent="0.25">
      <c r="A270" s="70"/>
      <c r="B270" s="71"/>
      <c r="C270" s="72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</row>
    <row r="271" spans="1:15" ht="15.75" customHeight="1" x14ac:dyDescent="0.25">
      <c r="A271" s="73"/>
      <c r="B271" s="74"/>
      <c r="C271" s="75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</row>
    <row r="272" spans="1:15" ht="15.75" customHeight="1" x14ac:dyDescent="0.25">
      <c r="A272" s="70"/>
      <c r="B272" s="71"/>
      <c r="C272" s="72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</row>
    <row r="273" spans="1:15" ht="15.75" customHeight="1" x14ac:dyDescent="0.25">
      <c r="A273" s="73"/>
      <c r="B273" s="74"/>
      <c r="C273" s="75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</row>
    <row r="274" spans="1:15" ht="15.75" customHeight="1" x14ac:dyDescent="0.25">
      <c r="A274" s="70"/>
      <c r="B274" s="71"/>
      <c r="C274" s="72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</row>
    <row r="275" spans="1:15" ht="15.75" customHeight="1" x14ac:dyDescent="0.25">
      <c r="A275" s="73"/>
      <c r="B275" s="74"/>
      <c r="C275" s="75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</row>
    <row r="276" spans="1:15" ht="15.75" customHeight="1" x14ac:dyDescent="0.25">
      <c r="A276" s="70"/>
      <c r="B276" s="71"/>
      <c r="C276" s="72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</row>
    <row r="277" spans="1:15" ht="15.75" customHeight="1" x14ac:dyDescent="0.25">
      <c r="A277" s="73"/>
      <c r="B277" s="74"/>
      <c r="C277" s="75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</row>
    <row r="278" spans="1:15" ht="15.75" customHeight="1" x14ac:dyDescent="0.25">
      <c r="A278" s="70"/>
      <c r="B278" s="71"/>
      <c r="C278" s="72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</row>
    <row r="279" spans="1:15" ht="15.75" customHeight="1" x14ac:dyDescent="0.25">
      <c r="A279" s="73"/>
      <c r="B279" s="74"/>
      <c r="C279" s="75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</row>
    <row r="280" spans="1:15" ht="15.75" customHeight="1" x14ac:dyDescent="0.25">
      <c r="A280" s="70"/>
      <c r="B280" s="71"/>
      <c r="C280" s="72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</row>
    <row r="281" spans="1:15" ht="15.75" customHeight="1" x14ac:dyDescent="0.25">
      <c r="A281" s="73"/>
      <c r="B281" s="74"/>
      <c r="C281" s="75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</row>
    <row r="282" spans="1:15" ht="15.75" customHeight="1" x14ac:dyDescent="0.25">
      <c r="A282" s="70"/>
      <c r="B282" s="71"/>
      <c r="C282" s="72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</row>
    <row r="283" spans="1:15" ht="15.75" customHeight="1" x14ac:dyDescent="0.25">
      <c r="A283" s="73"/>
      <c r="B283" s="74"/>
      <c r="C283" s="75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</row>
    <row r="284" spans="1:15" ht="15.75" customHeight="1" x14ac:dyDescent="0.25">
      <c r="A284" s="70"/>
      <c r="B284" s="71"/>
      <c r="C284" s="72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</row>
    <row r="285" spans="1:15" ht="15.75" customHeight="1" x14ac:dyDescent="0.25">
      <c r="A285" s="73"/>
      <c r="B285" s="74"/>
      <c r="C285" s="75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</row>
    <row r="286" spans="1:15" ht="15.75" customHeight="1" x14ac:dyDescent="0.25">
      <c r="A286" s="70"/>
      <c r="B286" s="71"/>
      <c r="C286" s="72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</row>
    <row r="287" spans="1:15" ht="15.75" customHeight="1" x14ac:dyDescent="0.25">
      <c r="A287" s="73"/>
      <c r="B287" s="74"/>
      <c r="C287" s="75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</row>
    <row r="288" spans="1:15" ht="15.75" customHeight="1" x14ac:dyDescent="0.25">
      <c r="A288" s="70"/>
      <c r="B288" s="71"/>
      <c r="C288" s="72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</row>
    <row r="289" spans="1:15" ht="15.75" customHeight="1" x14ac:dyDescent="0.25">
      <c r="A289" s="73"/>
      <c r="B289" s="74"/>
      <c r="C289" s="75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</row>
    <row r="290" spans="1:15" ht="15.75" customHeight="1" x14ac:dyDescent="0.25">
      <c r="A290" s="70"/>
      <c r="B290" s="71"/>
      <c r="C290" s="72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</row>
    <row r="291" spans="1:15" ht="15.75" customHeight="1" x14ac:dyDescent="0.25">
      <c r="A291" s="73"/>
      <c r="B291" s="74"/>
      <c r="C291" s="75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</row>
    <row r="292" spans="1:15" ht="15.75" customHeight="1" x14ac:dyDescent="0.25">
      <c r="A292" s="70"/>
      <c r="B292" s="71"/>
      <c r="C292" s="72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</row>
    <row r="293" spans="1:15" ht="15.75" customHeight="1" x14ac:dyDescent="0.25">
      <c r="A293" s="73"/>
      <c r="B293" s="74"/>
      <c r="C293" s="75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</row>
    <row r="294" spans="1:15" ht="15.75" customHeight="1" x14ac:dyDescent="0.25">
      <c r="A294" s="70"/>
      <c r="B294" s="71"/>
      <c r="C294" s="72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</row>
    <row r="295" spans="1:15" ht="15.75" customHeight="1" x14ac:dyDescent="0.25">
      <c r="A295" s="73"/>
      <c r="B295" s="74"/>
      <c r="C295" s="75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</row>
    <row r="296" spans="1:15" ht="15.75" customHeight="1" x14ac:dyDescent="0.25">
      <c r="A296" s="70"/>
      <c r="B296" s="71"/>
      <c r="C296" s="72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</row>
    <row r="297" spans="1:15" ht="15.75" customHeight="1" x14ac:dyDescent="0.25">
      <c r="A297" s="73"/>
      <c r="B297" s="74"/>
      <c r="C297" s="75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</row>
    <row r="298" spans="1:15" ht="15.75" customHeight="1" x14ac:dyDescent="0.25">
      <c r="A298" s="70"/>
      <c r="B298" s="71"/>
      <c r="C298" s="72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</row>
    <row r="299" spans="1:15" ht="15.75" customHeight="1" x14ac:dyDescent="0.25">
      <c r="A299" s="73"/>
      <c r="B299" s="74"/>
      <c r="C299" s="75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</row>
    <row r="300" spans="1:15" ht="15.75" customHeight="1" x14ac:dyDescent="0.25">
      <c r="A300" s="70"/>
      <c r="B300" s="71"/>
      <c r="C300" s="72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</row>
    <row r="301" spans="1:15" ht="15.75" customHeight="1" x14ac:dyDescent="0.25">
      <c r="A301" s="73"/>
      <c r="B301" s="74"/>
      <c r="C301" s="75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</row>
    <row r="302" spans="1:15" ht="15.75" customHeight="1" x14ac:dyDescent="0.25">
      <c r="A302" s="70"/>
      <c r="B302" s="71"/>
      <c r="C302" s="72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</row>
    <row r="303" spans="1:15" ht="15.75" customHeight="1" x14ac:dyDescent="0.25">
      <c r="A303" s="73"/>
      <c r="B303" s="74"/>
      <c r="C303" s="75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</row>
    <row r="304" spans="1:15" ht="15.75" customHeight="1" x14ac:dyDescent="0.25">
      <c r="A304" s="70"/>
      <c r="B304" s="71"/>
      <c r="C304" s="72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</row>
    <row r="305" spans="1:15" ht="15.75" customHeight="1" x14ac:dyDescent="0.25">
      <c r="A305" s="73"/>
      <c r="B305" s="74"/>
      <c r="C305" s="75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</row>
    <row r="306" spans="1:15" ht="15.75" customHeight="1" x14ac:dyDescent="0.25">
      <c r="A306" s="70"/>
      <c r="B306" s="71"/>
      <c r="C306" s="72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</row>
    <row r="307" spans="1:15" ht="15.75" customHeight="1" x14ac:dyDescent="0.25">
      <c r="A307" s="73"/>
      <c r="B307" s="74"/>
      <c r="C307" s="75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</row>
    <row r="308" spans="1:15" ht="15.75" customHeight="1" x14ac:dyDescent="0.25">
      <c r="A308" s="70"/>
      <c r="B308" s="71"/>
      <c r="C308" s="72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</row>
    <row r="309" spans="1:15" ht="15.75" customHeight="1" x14ac:dyDescent="0.25">
      <c r="A309" s="73"/>
      <c r="B309" s="74"/>
      <c r="C309" s="75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</row>
    <row r="310" spans="1:15" ht="15.75" customHeight="1" x14ac:dyDescent="0.25">
      <c r="A310" s="70"/>
      <c r="B310" s="71"/>
      <c r="C310" s="72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</row>
    <row r="311" spans="1:15" ht="15.75" customHeight="1" x14ac:dyDescent="0.25">
      <c r="A311" s="73"/>
      <c r="B311" s="74"/>
      <c r="C311" s="75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</row>
    <row r="312" spans="1:15" ht="15.75" customHeight="1" x14ac:dyDescent="0.25">
      <c r="A312" s="70"/>
      <c r="B312" s="71"/>
      <c r="C312" s="72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</row>
    <row r="313" spans="1:15" ht="15.75" customHeight="1" x14ac:dyDescent="0.25">
      <c r="A313" s="73"/>
      <c r="B313" s="74"/>
      <c r="C313" s="75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</row>
    <row r="314" spans="1:15" ht="15.75" customHeight="1" x14ac:dyDescent="0.25">
      <c r="A314" s="70"/>
      <c r="B314" s="71"/>
      <c r="C314" s="72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</row>
    <row r="315" spans="1:15" ht="15.75" customHeight="1" x14ac:dyDescent="0.25">
      <c r="A315" s="73"/>
      <c r="B315" s="74"/>
      <c r="C315" s="75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</row>
    <row r="316" spans="1:15" ht="15.75" customHeight="1" x14ac:dyDescent="0.25">
      <c r="A316" s="70"/>
      <c r="B316" s="71"/>
      <c r="C316" s="72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</row>
    <row r="317" spans="1:15" ht="15.75" customHeight="1" x14ac:dyDescent="0.25">
      <c r="A317" s="73"/>
      <c r="B317" s="74"/>
      <c r="C317" s="75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</row>
    <row r="318" spans="1:15" ht="15.75" customHeight="1" x14ac:dyDescent="0.25">
      <c r="A318" s="70"/>
      <c r="B318" s="71"/>
      <c r="C318" s="72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</row>
    <row r="319" spans="1:15" ht="15.75" customHeight="1" x14ac:dyDescent="0.25">
      <c r="A319" s="73"/>
      <c r="B319" s="74"/>
      <c r="C319" s="75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</row>
    <row r="320" spans="1:15" ht="15.75" customHeight="1" x14ac:dyDescent="0.25">
      <c r="A320" s="70"/>
      <c r="B320" s="71"/>
      <c r="C320" s="72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</row>
    <row r="321" spans="1:15" ht="15.75" customHeight="1" x14ac:dyDescent="0.25">
      <c r="A321" s="73"/>
      <c r="B321" s="74"/>
      <c r="C321" s="75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</row>
    <row r="322" spans="1:15" ht="15.75" customHeight="1" x14ac:dyDescent="0.25">
      <c r="A322" s="70"/>
      <c r="B322" s="71"/>
      <c r="C322" s="72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</row>
    <row r="323" spans="1:15" ht="15.75" customHeight="1" x14ac:dyDescent="0.25">
      <c r="A323" s="73"/>
      <c r="B323" s="74"/>
      <c r="C323" s="75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</row>
    <row r="324" spans="1:15" ht="15.75" customHeight="1" x14ac:dyDescent="0.25">
      <c r="A324" s="70"/>
      <c r="B324" s="71"/>
      <c r="C324" s="72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</row>
    <row r="325" spans="1:15" ht="15.75" customHeight="1" x14ac:dyDescent="0.25">
      <c r="A325" s="73"/>
      <c r="B325" s="74"/>
      <c r="C325" s="75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</row>
    <row r="326" spans="1:15" ht="15.75" customHeight="1" x14ac:dyDescent="0.25">
      <c r="A326" s="70"/>
      <c r="B326" s="71"/>
      <c r="C326" s="72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</row>
    <row r="327" spans="1:15" ht="15.75" customHeight="1" x14ac:dyDescent="0.25">
      <c r="A327" s="73"/>
      <c r="B327" s="74"/>
      <c r="C327" s="75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</row>
    <row r="328" spans="1:15" ht="15.75" customHeight="1" x14ac:dyDescent="0.25">
      <c r="A328" s="70"/>
      <c r="B328" s="71"/>
      <c r="C328" s="72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</row>
    <row r="329" spans="1:15" ht="15.75" customHeight="1" x14ac:dyDescent="0.25">
      <c r="A329" s="73"/>
      <c r="B329" s="74"/>
      <c r="C329" s="75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</row>
    <row r="330" spans="1:15" ht="15.75" customHeight="1" x14ac:dyDescent="0.25">
      <c r="A330" s="70"/>
      <c r="B330" s="71"/>
      <c r="C330" s="72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</row>
    <row r="331" spans="1:15" ht="15.75" customHeight="1" x14ac:dyDescent="0.25">
      <c r="A331" s="73"/>
      <c r="B331" s="74"/>
      <c r="C331" s="75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</row>
    <row r="332" spans="1:15" ht="15.75" customHeight="1" x14ac:dyDescent="0.25">
      <c r="A332" s="70"/>
      <c r="B332" s="71"/>
      <c r="C332" s="72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</row>
    <row r="333" spans="1:15" ht="15.75" customHeight="1" x14ac:dyDescent="0.25">
      <c r="A333" s="73"/>
      <c r="B333" s="74"/>
      <c r="C333" s="75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</row>
    <row r="334" spans="1:15" ht="15.75" customHeight="1" x14ac:dyDescent="0.25">
      <c r="A334" s="70"/>
      <c r="B334" s="71"/>
      <c r="C334" s="72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</row>
    <row r="335" spans="1:15" ht="15.75" customHeight="1" x14ac:dyDescent="0.25">
      <c r="A335" s="73"/>
      <c r="B335" s="74"/>
      <c r="C335" s="75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</row>
    <row r="336" spans="1:15" ht="15.75" customHeight="1" x14ac:dyDescent="0.25">
      <c r="A336" s="70"/>
      <c r="B336" s="71"/>
      <c r="C336" s="72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</row>
    <row r="337" spans="1:15" ht="15.75" customHeight="1" x14ac:dyDescent="0.25">
      <c r="A337" s="73"/>
      <c r="B337" s="74"/>
      <c r="C337" s="75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</row>
    <row r="338" spans="1:15" ht="15.75" customHeight="1" x14ac:dyDescent="0.25">
      <c r="A338" s="70"/>
      <c r="B338" s="71"/>
      <c r="C338" s="72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</row>
    <row r="339" spans="1:15" ht="15.75" customHeight="1" x14ac:dyDescent="0.25">
      <c r="A339" s="73"/>
      <c r="B339" s="74"/>
      <c r="C339" s="75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</row>
    <row r="340" spans="1:15" ht="15.75" customHeight="1" x14ac:dyDescent="0.25">
      <c r="A340" s="70"/>
      <c r="B340" s="71"/>
      <c r="C340" s="72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</row>
    <row r="341" spans="1:15" ht="15.75" customHeight="1" x14ac:dyDescent="0.25">
      <c r="A341" s="73"/>
      <c r="B341" s="74"/>
      <c r="C341" s="75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</row>
    <row r="342" spans="1:15" ht="15.75" customHeight="1" x14ac:dyDescent="0.25">
      <c r="A342" s="70"/>
      <c r="B342" s="71"/>
      <c r="C342" s="72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</row>
    <row r="343" spans="1:15" ht="15.75" customHeight="1" x14ac:dyDescent="0.25">
      <c r="A343" s="73"/>
      <c r="B343" s="74"/>
      <c r="C343" s="75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</row>
    <row r="344" spans="1:15" ht="15.75" customHeight="1" x14ac:dyDescent="0.25">
      <c r="A344" s="70"/>
      <c r="B344" s="71"/>
      <c r="C344" s="72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</row>
    <row r="345" spans="1:15" ht="15.75" customHeight="1" x14ac:dyDescent="0.25">
      <c r="A345" s="73"/>
      <c r="B345" s="74"/>
      <c r="C345" s="75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</row>
    <row r="346" spans="1:15" ht="15.75" customHeight="1" x14ac:dyDescent="0.25">
      <c r="A346" s="70"/>
      <c r="B346" s="71"/>
      <c r="C346" s="72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</row>
    <row r="347" spans="1:15" ht="15.75" customHeight="1" x14ac:dyDescent="0.25">
      <c r="A347" s="73"/>
      <c r="B347" s="74"/>
      <c r="C347" s="75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</row>
    <row r="348" spans="1:15" ht="15.75" customHeight="1" x14ac:dyDescent="0.25">
      <c r="A348" s="70"/>
      <c r="B348" s="71"/>
      <c r="C348" s="72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</row>
    <row r="349" spans="1:15" ht="15.75" customHeight="1" x14ac:dyDescent="0.25">
      <c r="A349" s="73"/>
      <c r="B349" s="74"/>
      <c r="C349" s="75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</row>
    <row r="350" spans="1:15" ht="15.75" customHeight="1" x14ac:dyDescent="0.25">
      <c r="A350" s="70"/>
      <c r="B350" s="71"/>
      <c r="C350" s="72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</row>
    <row r="351" spans="1:15" ht="15.75" customHeight="1" x14ac:dyDescent="0.25">
      <c r="A351" s="73"/>
      <c r="B351" s="74"/>
      <c r="C351" s="75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</row>
    <row r="352" spans="1:15" ht="15.75" customHeight="1" x14ac:dyDescent="0.25">
      <c r="A352" s="70"/>
      <c r="B352" s="71"/>
      <c r="C352" s="72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</row>
    <row r="353" spans="1:15" ht="15.75" customHeight="1" x14ac:dyDescent="0.25">
      <c r="A353" s="73"/>
      <c r="B353" s="74"/>
      <c r="C353" s="75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</row>
    <row r="354" spans="1:15" ht="15.75" customHeight="1" x14ac:dyDescent="0.25">
      <c r="A354" s="70"/>
      <c r="B354" s="71"/>
      <c r="C354" s="72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</row>
    <row r="355" spans="1:15" ht="15.75" customHeight="1" x14ac:dyDescent="0.25">
      <c r="A355" s="73"/>
      <c r="B355" s="74"/>
      <c r="C355" s="75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</row>
    <row r="356" spans="1:15" ht="15.75" customHeight="1" x14ac:dyDescent="0.25">
      <c r="A356" s="70"/>
      <c r="B356" s="71"/>
      <c r="C356" s="72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</row>
    <row r="357" spans="1:15" ht="15.75" customHeight="1" x14ac:dyDescent="0.25">
      <c r="A357" s="73"/>
      <c r="B357" s="74"/>
      <c r="C357" s="75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</row>
    <row r="358" spans="1:15" ht="15.75" customHeight="1" x14ac:dyDescent="0.25">
      <c r="A358" s="70"/>
      <c r="B358" s="71"/>
      <c r="C358" s="72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</row>
    <row r="359" spans="1:15" ht="15.75" customHeight="1" x14ac:dyDescent="0.25">
      <c r="A359" s="73"/>
      <c r="B359" s="74"/>
      <c r="C359" s="75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</row>
    <row r="360" spans="1:15" ht="15.75" customHeight="1" x14ac:dyDescent="0.25">
      <c r="A360" s="70"/>
      <c r="B360" s="71"/>
      <c r="C360" s="72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</row>
    <row r="361" spans="1:15" ht="15.75" customHeight="1" x14ac:dyDescent="0.25">
      <c r="A361" s="73"/>
      <c r="B361" s="74"/>
      <c r="C361" s="75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</row>
    <row r="362" spans="1:15" ht="15.75" customHeight="1" x14ac:dyDescent="0.25">
      <c r="A362" s="70"/>
      <c r="B362" s="71"/>
      <c r="C362" s="72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</row>
    <row r="363" spans="1:15" ht="15.75" customHeight="1" x14ac:dyDescent="0.25">
      <c r="A363" s="73"/>
      <c r="B363" s="74"/>
      <c r="C363" s="75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</row>
    <row r="364" spans="1:15" ht="15.75" customHeight="1" x14ac:dyDescent="0.25">
      <c r="A364" s="70"/>
      <c r="B364" s="71"/>
      <c r="C364" s="72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</row>
    <row r="365" spans="1:15" ht="15.75" customHeight="1" x14ac:dyDescent="0.25">
      <c r="A365" s="73"/>
      <c r="B365" s="74"/>
      <c r="C365" s="75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</row>
    <row r="366" spans="1:15" ht="15.75" customHeight="1" x14ac:dyDescent="0.25">
      <c r="A366" s="70"/>
      <c r="B366" s="71"/>
      <c r="C366" s="72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</row>
    <row r="367" spans="1:15" ht="15.75" customHeight="1" x14ac:dyDescent="0.25">
      <c r="A367" s="73"/>
      <c r="B367" s="74"/>
      <c r="C367" s="75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</row>
    <row r="368" spans="1:15" ht="15.75" customHeight="1" x14ac:dyDescent="0.25">
      <c r="A368" s="70"/>
      <c r="B368" s="71"/>
      <c r="C368" s="72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</row>
    <row r="369" spans="1:15" ht="15.75" customHeight="1" x14ac:dyDescent="0.25">
      <c r="A369" s="73"/>
      <c r="B369" s="74"/>
      <c r="C369" s="75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</row>
    <row r="370" spans="1:15" ht="15.75" customHeight="1" x14ac:dyDescent="0.25">
      <c r="A370" s="70"/>
      <c r="B370" s="71"/>
      <c r="C370" s="72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</row>
    <row r="371" spans="1:15" ht="15.75" customHeight="1" x14ac:dyDescent="0.25">
      <c r="A371" s="73"/>
      <c r="B371" s="74"/>
      <c r="C371" s="75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</row>
    <row r="372" spans="1:15" ht="15.75" customHeight="1" x14ac:dyDescent="0.25">
      <c r="A372" s="70"/>
      <c r="B372" s="71"/>
      <c r="C372" s="72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</row>
    <row r="373" spans="1:15" ht="15.75" customHeight="1" x14ac:dyDescent="0.25">
      <c r="A373" s="73"/>
      <c r="B373" s="74"/>
      <c r="C373" s="75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</row>
    <row r="374" spans="1:15" ht="15.75" customHeight="1" x14ac:dyDescent="0.25">
      <c r="A374" s="70"/>
      <c r="B374" s="71"/>
      <c r="C374" s="72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</row>
    <row r="375" spans="1:15" ht="15.75" customHeight="1" x14ac:dyDescent="0.25">
      <c r="A375" s="73"/>
      <c r="B375" s="74"/>
      <c r="C375" s="75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</row>
    <row r="376" spans="1:15" ht="15.75" customHeight="1" x14ac:dyDescent="0.25">
      <c r="A376" s="70"/>
      <c r="B376" s="71"/>
      <c r="C376" s="72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</row>
    <row r="377" spans="1:15" ht="15.75" customHeight="1" x14ac:dyDescent="0.25">
      <c r="A377" s="73"/>
      <c r="B377" s="74"/>
      <c r="C377" s="75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</row>
    <row r="378" spans="1:15" ht="15.75" customHeight="1" x14ac:dyDescent="0.25">
      <c r="A378" s="70"/>
      <c r="B378" s="71"/>
      <c r="C378" s="72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</row>
    <row r="379" spans="1:15" ht="15.75" customHeight="1" x14ac:dyDescent="0.25">
      <c r="A379" s="73"/>
      <c r="B379" s="74"/>
      <c r="C379" s="75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</row>
    <row r="380" spans="1:15" ht="15.75" customHeight="1" x14ac:dyDescent="0.25">
      <c r="A380" s="70"/>
      <c r="B380" s="71"/>
      <c r="C380" s="72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</row>
    <row r="381" spans="1:15" ht="15.75" customHeight="1" x14ac:dyDescent="0.25">
      <c r="A381" s="73"/>
      <c r="B381" s="74"/>
      <c r="C381" s="75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</row>
    <row r="382" spans="1:15" ht="15.75" customHeight="1" x14ac:dyDescent="0.25">
      <c r="A382" s="70"/>
      <c r="B382" s="71"/>
      <c r="C382" s="72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</row>
    <row r="383" spans="1:15" ht="15.75" customHeight="1" x14ac:dyDescent="0.25">
      <c r="A383" s="73"/>
      <c r="B383" s="74"/>
      <c r="C383" s="75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</row>
    <row r="384" spans="1:15" ht="15.75" customHeight="1" x14ac:dyDescent="0.25">
      <c r="A384" s="70"/>
      <c r="B384" s="71"/>
      <c r="C384" s="72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</row>
    <row r="385" spans="1:15" ht="15.75" customHeight="1" x14ac:dyDescent="0.25">
      <c r="A385" s="73"/>
      <c r="B385" s="74"/>
      <c r="C385" s="75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</row>
    <row r="386" spans="1:15" ht="15.75" customHeight="1" x14ac:dyDescent="0.25">
      <c r="A386" s="70"/>
      <c r="B386" s="71"/>
      <c r="C386" s="72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</row>
    <row r="387" spans="1:15" ht="15.75" customHeight="1" x14ac:dyDescent="0.25">
      <c r="A387" s="73"/>
      <c r="B387" s="74"/>
      <c r="C387" s="75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</row>
    <row r="388" spans="1:15" ht="15.75" customHeight="1" x14ac:dyDescent="0.25">
      <c r="A388" s="70"/>
      <c r="B388" s="71"/>
      <c r="C388" s="72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</row>
    <row r="389" spans="1:15" ht="15.75" customHeight="1" x14ac:dyDescent="0.25">
      <c r="A389" s="73"/>
      <c r="B389" s="74"/>
      <c r="C389" s="75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</row>
    <row r="390" spans="1:15" ht="15.75" customHeight="1" x14ac:dyDescent="0.25">
      <c r="A390" s="70"/>
      <c r="B390" s="71"/>
      <c r="C390" s="72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</row>
    <row r="391" spans="1:15" ht="15.75" customHeight="1" x14ac:dyDescent="0.25">
      <c r="A391" s="73"/>
      <c r="B391" s="74"/>
      <c r="C391" s="75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</row>
    <row r="392" spans="1:15" ht="15.75" customHeight="1" x14ac:dyDescent="0.25">
      <c r="A392" s="70"/>
      <c r="B392" s="71"/>
      <c r="C392" s="72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</row>
    <row r="393" spans="1:15" ht="15.75" customHeight="1" x14ac:dyDescent="0.25">
      <c r="A393" s="73"/>
      <c r="B393" s="74"/>
      <c r="C393" s="75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</row>
    <row r="394" spans="1:15" ht="15.75" customHeight="1" x14ac:dyDescent="0.25">
      <c r="A394" s="70"/>
      <c r="B394" s="71"/>
      <c r="C394" s="72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</row>
    <row r="395" spans="1:15" ht="15.75" customHeight="1" x14ac:dyDescent="0.25">
      <c r="A395" s="73"/>
      <c r="B395" s="74"/>
      <c r="C395" s="75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</row>
    <row r="396" spans="1:15" ht="15.75" customHeight="1" x14ac:dyDescent="0.25">
      <c r="A396" s="70"/>
      <c r="B396" s="71"/>
      <c r="C396" s="72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</row>
    <row r="397" spans="1:15" ht="15.75" customHeight="1" x14ac:dyDescent="0.25">
      <c r="A397" s="73"/>
      <c r="B397" s="74"/>
      <c r="C397" s="75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</row>
    <row r="398" spans="1:15" ht="15.75" customHeight="1" x14ac:dyDescent="0.25">
      <c r="A398" s="70"/>
      <c r="B398" s="71"/>
      <c r="C398" s="72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</row>
    <row r="399" spans="1:15" ht="15.75" customHeight="1" x14ac:dyDescent="0.25">
      <c r="A399" s="73"/>
      <c r="B399" s="74"/>
      <c r="C399" s="75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</row>
    <row r="400" spans="1:15" ht="15.75" customHeight="1" x14ac:dyDescent="0.25">
      <c r="A400" s="70"/>
      <c r="B400" s="71"/>
      <c r="C400" s="72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</row>
    <row r="401" spans="1:15" ht="15.75" customHeight="1" x14ac:dyDescent="0.25">
      <c r="A401" s="73"/>
      <c r="B401" s="74"/>
      <c r="C401" s="75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</row>
    <row r="402" spans="1:15" ht="15.75" customHeight="1" x14ac:dyDescent="0.25">
      <c r="A402" s="70"/>
      <c r="B402" s="71"/>
      <c r="C402" s="72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</row>
    <row r="403" spans="1:15" ht="15.75" customHeight="1" x14ac:dyDescent="0.25">
      <c r="A403" s="73"/>
      <c r="B403" s="74"/>
      <c r="C403" s="75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</row>
    <row r="404" spans="1:15" ht="15.75" customHeight="1" x14ac:dyDescent="0.25">
      <c r="A404" s="70"/>
      <c r="B404" s="71"/>
      <c r="C404" s="72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</row>
    <row r="405" spans="1:15" ht="15.75" customHeight="1" x14ac:dyDescent="0.25">
      <c r="A405" s="73"/>
      <c r="B405" s="74"/>
      <c r="C405" s="75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</row>
    <row r="406" spans="1:15" ht="15.75" customHeight="1" x14ac:dyDescent="0.25">
      <c r="A406" s="70"/>
      <c r="B406" s="71"/>
      <c r="C406" s="72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</row>
    <row r="407" spans="1:15" ht="15.75" customHeight="1" x14ac:dyDescent="0.25">
      <c r="A407" s="73"/>
      <c r="B407" s="74"/>
      <c r="C407" s="75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</row>
    <row r="408" spans="1:15" ht="15.75" customHeight="1" x14ac:dyDescent="0.25">
      <c r="A408" s="70"/>
      <c r="B408" s="71"/>
      <c r="C408" s="72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</row>
    <row r="409" spans="1:15" ht="15.75" customHeight="1" x14ac:dyDescent="0.25">
      <c r="A409" s="73"/>
      <c r="B409" s="74"/>
      <c r="C409" s="75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</row>
    <row r="410" spans="1:15" ht="15.75" customHeight="1" x14ac:dyDescent="0.25">
      <c r="A410" s="70"/>
      <c r="B410" s="71"/>
      <c r="C410" s="72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</row>
    <row r="411" spans="1:15" ht="15.75" customHeight="1" x14ac:dyDescent="0.25">
      <c r="A411" s="73"/>
      <c r="B411" s="74"/>
      <c r="C411" s="75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</row>
    <row r="412" spans="1:15" ht="15.75" customHeight="1" x14ac:dyDescent="0.25">
      <c r="A412" s="70"/>
      <c r="B412" s="71"/>
      <c r="C412" s="72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</row>
    <row r="413" spans="1:15" ht="15.75" customHeight="1" x14ac:dyDescent="0.25">
      <c r="A413" s="73"/>
      <c r="B413" s="74"/>
      <c r="C413" s="75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</row>
    <row r="414" spans="1:15" ht="15.75" customHeight="1" x14ac:dyDescent="0.25">
      <c r="A414" s="70"/>
      <c r="B414" s="71"/>
      <c r="C414" s="72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</row>
    <row r="415" spans="1:15" ht="15.75" customHeight="1" x14ac:dyDescent="0.25">
      <c r="A415" s="73"/>
      <c r="B415" s="74"/>
      <c r="C415" s="75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</row>
    <row r="416" spans="1:15" ht="15.75" customHeight="1" x14ac:dyDescent="0.25">
      <c r="A416" s="70"/>
      <c r="B416" s="71"/>
      <c r="C416" s="72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</row>
    <row r="417" spans="1:15" ht="15.75" customHeight="1" x14ac:dyDescent="0.25">
      <c r="A417" s="73"/>
      <c r="B417" s="74"/>
      <c r="C417" s="75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</row>
    <row r="418" spans="1:15" ht="15.75" customHeight="1" x14ac:dyDescent="0.25">
      <c r="A418" s="70"/>
      <c r="B418" s="71"/>
      <c r="C418" s="72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</row>
    <row r="419" spans="1:15" ht="15.75" customHeight="1" x14ac:dyDescent="0.25">
      <c r="A419" s="73"/>
      <c r="B419" s="74"/>
      <c r="C419" s="75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</row>
    <row r="420" spans="1:15" ht="15.75" customHeight="1" x14ac:dyDescent="0.25">
      <c r="A420" s="70"/>
      <c r="B420" s="71"/>
      <c r="C420" s="72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</row>
    <row r="421" spans="1:15" ht="15.75" customHeight="1" x14ac:dyDescent="0.25">
      <c r="A421" s="73"/>
      <c r="B421" s="74"/>
      <c r="C421" s="75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</row>
    <row r="422" spans="1:15" ht="15.75" customHeight="1" x14ac:dyDescent="0.25">
      <c r="A422" s="70"/>
      <c r="B422" s="71"/>
      <c r="C422" s="72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</row>
    <row r="423" spans="1:15" ht="15.75" customHeight="1" x14ac:dyDescent="0.25">
      <c r="A423" s="73"/>
      <c r="B423" s="74"/>
      <c r="C423" s="75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</row>
    <row r="424" spans="1:15" ht="15.75" customHeight="1" x14ac:dyDescent="0.25">
      <c r="A424" s="70"/>
      <c r="B424" s="71"/>
      <c r="C424" s="72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</row>
    <row r="425" spans="1:15" ht="15.75" customHeight="1" x14ac:dyDescent="0.25"/>
    <row r="426" spans="1:15" ht="15.75" customHeight="1" x14ac:dyDescent="0.25"/>
    <row r="427" spans="1:15" ht="15.75" customHeight="1" x14ac:dyDescent="0.25"/>
    <row r="428" spans="1:15" ht="15.75" customHeight="1" x14ac:dyDescent="0.25"/>
    <row r="429" spans="1:15" ht="15.75" customHeight="1" x14ac:dyDescent="0.25"/>
    <row r="430" spans="1:15" ht="15.75" customHeight="1" x14ac:dyDescent="0.25"/>
    <row r="431" spans="1:15" ht="15.75" customHeight="1" x14ac:dyDescent="0.25"/>
    <row r="432" spans="1:15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" customHeight="1" x14ac:dyDescent="0.25"/>
  </sheetData>
  <autoFilter ref="A1:O1" xr:uid="{00000000-0009-0000-0000-000006000000}"/>
  <mergeCells count="2">
    <mergeCell ref="A2:U2"/>
    <mergeCell ref="A3:U3"/>
  </mergeCells>
  <dataValidations count="1">
    <dataValidation type="date" sqref="A3:A1423" xr:uid="{00000000-0002-0000-0600-000000000000}">
      <formula1>DATE(2025,1,1)</formula1>
      <formula2>DATE(2030,12,31)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7030A0"/>
  </sheetPr>
  <dimension ref="A1:B21"/>
  <sheetViews>
    <sheetView zoomScaleNormal="100" workbookViewId="0">
      <pane ySplit="2" topLeftCell="A3" activePane="bottomLeft" state="frozen"/>
      <selection pane="bottomLeft" sqref="A1:B1"/>
    </sheetView>
  </sheetViews>
  <sheetFormatPr defaultColWidth="8.7109375" defaultRowHeight="15" x14ac:dyDescent="0.25"/>
  <cols>
    <col min="1" max="1" width="24" customWidth="1"/>
    <col min="2" max="2" width="18" customWidth="1"/>
  </cols>
  <sheetData>
    <row r="1" spans="1:2" ht="30" customHeight="1" x14ac:dyDescent="0.25">
      <c r="A1" s="100" t="s">
        <v>210</v>
      </c>
      <c r="B1" s="100"/>
    </row>
    <row r="2" spans="1:2" ht="27.75" customHeight="1" x14ac:dyDescent="0.25">
      <c r="A2" s="62" t="s">
        <v>121</v>
      </c>
      <c r="B2" s="62" t="s">
        <v>120</v>
      </c>
    </row>
    <row r="3" spans="1:2" ht="19.5" customHeight="1" x14ac:dyDescent="0.25">
      <c r="A3" s="20" t="s">
        <v>129</v>
      </c>
      <c r="B3" s="21" t="s">
        <v>128</v>
      </c>
    </row>
    <row r="4" spans="1:2" ht="19.5" customHeight="1" x14ac:dyDescent="0.25">
      <c r="A4" s="20" t="s">
        <v>131</v>
      </c>
      <c r="B4" s="21" t="s">
        <v>128</v>
      </c>
    </row>
    <row r="5" spans="1:2" ht="19.5" customHeight="1" x14ac:dyDescent="0.25">
      <c r="A5" s="20" t="s">
        <v>132</v>
      </c>
      <c r="B5" s="21" t="s">
        <v>128</v>
      </c>
    </row>
    <row r="6" spans="1:2" ht="19.5" customHeight="1" x14ac:dyDescent="0.25">
      <c r="A6" s="20" t="s">
        <v>133</v>
      </c>
      <c r="B6" s="21" t="s">
        <v>128</v>
      </c>
    </row>
    <row r="7" spans="1:2" ht="19.5" customHeight="1" x14ac:dyDescent="0.25">
      <c r="A7" s="63" t="s">
        <v>136</v>
      </c>
      <c r="B7" s="76" t="s">
        <v>134</v>
      </c>
    </row>
    <row r="8" spans="1:2" ht="19.5" customHeight="1" x14ac:dyDescent="0.25">
      <c r="A8" s="63" t="s">
        <v>137</v>
      </c>
      <c r="B8" s="76" t="s">
        <v>134</v>
      </c>
    </row>
    <row r="9" spans="1:2" ht="19.5" customHeight="1" x14ac:dyDescent="0.25">
      <c r="A9" s="63" t="s">
        <v>135</v>
      </c>
      <c r="B9" s="76" t="s">
        <v>134</v>
      </c>
    </row>
    <row r="10" spans="1:2" ht="19.5" customHeight="1" x14ac:dyDescent="0.25">
      <c r="A10" s="25" t="s">
        <v>141</v>
      </c>
      <c r="B10" s="26" t="s">
        <v>138</v>
      </c>
    </row>
    <row r="11" spans="1:2" ht="19.5" customHeight="1" x14ac:dyDescent="0.25">
      <c r="A11" s="25" t="s">
        <v>142</v>
      </c>
      <c r="B11" s="26" t="s">
        <v>138</v>
      </c>
    </row>
    <row r="12" spans="1:2" ht="19.5" customHeight="1" x14ac:dyDescent="0.25">
      <c r="A12" s="25" t="s">
        <v>139</v>
      </c>
      <c r="B12" s="26" t="s">
        <v>138</v>
      </c>
    </row>
    <row r="13" spans="1:2" ht="19.5" customHeight="1" x14ac:dyDescent="0.25">
      <c r="A13" s="27" t="s">
        <v>144</v>
      </c>
      <c r="B13" s="28" t="s">
        <v>143</v>
      </c>
    </row>
    <row r="14" spans="1:2" ht="19.5" customHeight="1" x14ac:dyDescent="0.25">
      <c r="A14" s="27" t="s">
        <v>146</v>
      </c>
      <c r="B14" s="28" t="s">
        <v>143</v>
      </c>
    </row>
    <row r="15" spans="1:2" ht="19.5" customHeight="1" x14ac:dyDescent="0.25">
      <c r="A15" s="27" t="s">
        <v>147</v>
      </c>
      <c r="B15" s="28" t="s">
        <v>143</v>
      </c>
    </row>
    <row r="16" spans="1:2" ht="19.5" customHeight="1" x14ac:dyDescent="0.25">
      <c r="A16" s="27" t="s">
        <v>148</v>
      </c>
      <c r="B16" s="28" t="s">
        <v>143</v>
      </c>
    </row>
    <row r="17" spans="1:2" ht="19.5" customHeight="1" x14ac:dyDescent="0.25">
      <c r="A17" s="27" t="s">
        <v>149</v>
      </c>
      <c r="B17" s="28" t="s">
        <v>143</v>
      </c>
    </row>
    <row r="18" spans="1:2" ht="19.5" customHeight="1" x14ac:dyDescent="0.25">
      <c r="A18" s="27" t="s">
        <v>150</v>
      </c>
      <c r="B18" s="28" t="s">
        <v>143</v>
      </c>
    </row>
    <row r="19" spans="1:2" ht="19.5" customHeight="1" x14ac:dyDescent="0.25">
      <c r="A19" s="27" t="s">
        <v>151</v>
      </c>
      <c r="B19" s="28" t="s">
        <v>143</v>
      </c>
    </row>
    <row r="20" spans="1:2" ht="19.5" customHeight="1" x14ac:dyDescent="0.25">
      <c r="A20" s="29" t="s">
        <v>153</v>
      </c>
      <c r="B20" s="30" t="s">
        <v>152</v>
      </c>
    </row>
    <row r="21" spans="1:2" ht="19.5" customHeight="1" x14ac:dyDescent="0.25">
      <c r="A21" s="29" t="s">
        <v>154</v>
      </c>
      <c r="B21" s="30" t="s">
        <v>152</v>
      </c>
    </row>
  </sheetData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README</vt:lpstr>
      <vt:lpstr>Machine_Master</vt:lpstr>
      <vt:lpstr>Simple_Input</vt:lpstr>
      <vt:lpstr>Production_Details</vt:lpstr>
      <vt:lpstr>OEE_Summary</vt:lpstr>
      <vt:lpstr>OEE_Log_All</vt:lpstr>
      <vt:lpstr>History_Log</vt:lpstr>
      <vt:lpstr>_Lists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Hariprakash K</cp:lastModifiedBy>
  <cp:revision>0</cp:revision>
  <dcterms:created xsi:type="dcterms:W3CDTF">2026-03-15T07:55:27Z</dcterms:created>
  <dcterms:modified xsi:type="dcterms:W3CDTF">2026-03-30T07:28:13Z</dcterms:modified>
  <dc:language>en-US</dc:language>
</cp:coreProperties>
</file>