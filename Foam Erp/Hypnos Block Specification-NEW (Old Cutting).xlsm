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oam Cutting\"/>
    </mc:Choice>
  </mc:AlternateContent>
  <bookViews>
    <workbookView xWindow="-120" yWindow="-120" windowWidth="20730" windowHeight="11160"/>
  </bookViews>
  <sheets>
    <sheet name="OVERALL SHEET" sheetId="1" r:id="rId1"/>
    <sheet name="SPEC CHECK" sheetId="3" r:id="rId2"/>
    <sheet name="Sheet2" sheetId="2" state="hidden" r:id="rId3"/>
    <sheet name="Sheet4" sheetId="4" state="hidden" r:id="rId4"/>
  </sheets>
  <definedNames>
    <definedName name="_xlnm._FilterDatabase" localSheetId="0" hidden="1">'OVERALL SHEET'!$AA$1:$AE$1</definedName>
    <definedName name="_xlnm._FilterDatabase" localSheetId="2" hidden="1">Sheet2!$A$1:$M$45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6" i="2" l="1"/>
  <c r="E55" i="2"/>
  <c r="E54" i="2"/>
  <c r="E53" i="2"/>
  <c r="E52" i="2"/>
  <c r="E51" i="2"/>
  <c r="E42" i="2" l="1"/>
  <c r="E43" i="2"/>
  <c r="E44" i="2"/>
  <c r="E45" i="2"/>
  <c r="E46" i="2"/>
  <c r="E47" i="2"/>
  <c r="E48" i="2"/>
  <c r="E49" i="2"/>
  <c r="E50" i="2"/>
  <c r="E2" i="2" l="1"/>
  <c r="E39" i="2" l="1"/>
  <c r="E40" i="2"/>
  <c r="E41" i="2"/>
  <c r="E38" i="2" l="1"/>
  <c r="E37" i="2"/>
  <c r="E36" i="2"/>
  <c r="E35" i="2"/>
  <c r="E34" i="2"/>
  <c r="E33" i="2"/>
  <c r="E32" i="2"/>
  <c r="E31" i="2"/>
  <c r="E30" i="2"/>
  <c r="E29" i="2" l="1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</calcChain>
</file>

<file path=xl/sharedStrings.xml><?xml version="1.0" encoding="utf-8"?>
<sst xmlns="http://schemas.openxmlformats.org/spreadsheetml/2006/main" count="488" uniqueCount="126">
  <si>
    <t>MEMORIO-FOAM-BLOCK-72X30X08</t>
  </si>
  <si>
    <t>SPINE-SAFE-FOAM-BLOCK-72X30X05</t>
  </si>
  <si>
    <t>MIRAGE-FOAM-BLOCK-72X30X06</t>
  </si>
  <si>
    <t>MEMORIO-FOAM-BLOCK-72X30X05</t>
  </si>
  <si>
    <t>MEMORIO-FOAM-BLOCK-72X30X06</t>
  </si>
  <si>
    <t>SPINE-SAFE-FOAM-BLOCK-72X30X06</t>
  </si>
  <si>
    <t>SPINE-SAFE-FOAM-BLOCK-72X30X08</t>
  </si>
  <si>
    <t>PANORAMA-FOAM-BLOCK-72X30X05</t>
  </si>
  <si>
    <t>PANORAMA-FOAM-BLOCK-72X30X06</t>
  </si>
  <si>
    <t>PANORAMA-FOAM-BLOCK-72X30X08</t>
  </si>
  <si>
    <t>S.NO</t>
  </si>
  <si>
    <t>ITEM CODE</t>
  </si>
  <si>
    <t>NAME</t>
  </si>
  <si>
    <t>INCH</t>
  </si>
  <si>
    <t>CODING</t>
  </si>
  <si>
    <t>1 SH</t>
  </si>
  <si>
    <t>layer 1mm</t>
  </si>
  <si>
    <t>LAYER2 SH</t>
  </si>
  <si>
    <t>layer 2mm</t>
  </si>
  <si>
    <t>LAYER3 SH</t>
  </si>
  <si>
    <t>layer 3mm</t>
  </si>
  <si>
    <t>LAYER4 SH</t>
  </si>
  <si>
    <t>layer 4mm</t>
  </si>
  <si>
    <t>FOAMERA-FOAM-BLOCK-72X30X04</t>
  </si>
  <si>
    <t>FOAMERA</t>
  </si>
  <si>
    <t>NI</t>
  </si>
  <si>
    <t>LL</t>
  </si>
  <si>
    <t>FOAMERA-FOAM-BLOCK-72X30X05</t>
  </si>
  <si>
    <t>FOAMERA-FOAM-BLOCK-72X30X06</t>
  </si>
  <si>
    <t>MEMORIO</t>
  </si>
  <si>
    <t>28D-PU-FOAM-</t>
  </si>
  <si>
    <t>SPINE-SAFE</t>
  </si>
  <si>
    <t>32D-SOFT-FOAM-</t>
  </si>
  <si>
    <t>80D-RB-FOAM-</t>
  </si>
  <si>
    <t>MEM-ULTRA-FOAM-BLOCK-72X30X05</t>
  </si>
  <si>
    <t>MEM-ULTRA</t>
  </si>
  <si>
    <t>MEM-ULTRA-FOAM-BLOCK-72X30X06</t>
  </si>
  <si>
    <t>MEM-ULTRA-FOAM-BLOCK-72X30X08</t>
  </si>
  <si>
    <t>INSPREE-FOAM-BLOCK-72X30X04</t>
  </si>
  <si>
    <t>INSPREE</t>
  </si>
  <si>
    <t>INSPREE-FOAM-</t>
  </si>
  <si>
    <t>INSPREE-FOAM-BLOCK-72X30X05</t>
  </si>
  <si>
    <t>INSPREE-FOAM-BLOCK-72X30X06</t>
  </si>
  <si>
    <t>FURNO-FOAM-BLOCK-72X30X04</t>
  </si>
  <si>
    <t>FURNO</t>
  </si>
  <si>
    <t>23D-ECO-FOAM-</t>
  </si>
  <si>
    <t>FURNO-FOAM-BLOCK-72X30X05</t>
  </si>
  <si>
    <t>FURNO-FOAM-BLOCK-72X30X06</t>
  </si>
  <si>
    <t>MIRAGE-FOAM-BLOCK-72X30X04</t>
  </si>
  <si>
    <t>MIRAGE</t>
  </si>
  <si>
    <t>28D-HR-FOAM-</t>
  </si>
  <si>
    <t>MIRAGE-FOAM-BLOCK-72X30X05</t>
  </si>
  <si>
    <t>PANORAMA</t>
  </si>
  <si>
    <t>INSPREE-RB-50D-BLOCK-72X30X04</t>
  </si>
  <si>
    <t>INSPREE-RB-50D</t>
  </si>
  <si>
    <t>50D-ECO-FOAM-</t>
  </si>
  <si>
    <t>INSPREE-RB-FOAM-</t>
  </si>
  <si>
    <t>INSPREE-RB-50D-BLOCK-72X30X05</t>
  </si>
  <si>
    <t>INSPREE-RB-50D-BLOCK-72X30X06</t>
  </si>
  <si>
    <t>INSPREE-PLUSH-50D-BLOCK-72X30X06</t>
  </si>
  <si>
    <t>INSPREE-PLUSH-50D</t>
  </si>
  <si>
    <t xml:space="preserve"> HYPNOS ITEM CODE</t>
  </si>
  <si>
    <t xml:space="preserve"> QTY </t>
  </si>
  <si>
    <t>LAYER 1</t>
  </si>
  <si>
    <t>QTY(NOS) 1</t>
  </si>
  <si>
    <t>LAYER 2</t>
  </si>
  <si>
    <t>QTY(NOS) 2</t>
  </si>
  <si>
    <t>LAYER 3</t>
  </si>
  <si>
    <t>QTY(NOS) 3</t>
  </si>
  <si>
    <t>LAYER 4</t>
  </si>
  <si>
    <t>QTY(NOS) 4</t>
  </si>
  <si>
    <t>OVERALL SHEETS</t>
  </si>
  <si>
    <t>QTY(NOS)</t>
  </si>
  <si>
    <t>LENGTH</t>
  </si>
  <si>
    <t>WIDTH</t>
  </si>
  <si>
    <t>SPEC</t>
  </si>
  <si>
    <t>40D-MDI-MEM-FOAM-</t>
  </si>
  <si>
    <t>25D-PU-FOAM-</t>
  </si>
  <si>
    <t>KOZY-BREEZE-FOAM-BLOCK-72X30X04</t>
  </si>
  <si>
    <t>KOZY-BREEZE-FOAM-BLOCK-72X30X05</t>
  </si>
  <si>
    <t>KOZY-BREEZE-FOAM-BLOCK-72X30X06</t>
  </si>
  <si>
    <t>KOZY-BREEZE</t>
  </si>
  <si>
    <t>28D-ECO-FOAM-</t>
  </si>
  <si>
    <t>MIRAGE-SOFT-FOAM-BLOCK-72X30X04</t>
  </si>
  <si>
    <t>MIRAGE-SOFT-FOAM-BLOCK-72X30X05</t>
  </si>
  <si>
    <t>MIRAGE-SOFT-FOAM-BLOCK-72X30X06</t>
  </si>
  <si>
    <t>MIRAGE-SOFT</t>
  </si>
  <si>
    <t>HEAVENSPACE-FOAM-BLOCK-72X30X05</t>
  </si>
  <si>
    <t>HEAVENSPACE-FOAM-BLOCK-72X30X06</t>
  </si>
  <si>
    <t>HEAVENSPACE-FOAM-BLOCK-72X30X08</t>
  </si>
  <si>
    <t>HEAVENSPACE</t>
  </si>
  <si>
    <t>90D-HYP-INSPREE</t>
  </si>
  <si>
    <t>90D-HYP-INSPREE-BLOCK-72X30X04</t>
  </si>
  <si>
    <t>90D-HYP-INSPREE-BLOCK-72X30X05</t>
  </si>
  <si>
    <t>90D-HYP-INSPREE-BLOCK-72X30X06</t>
  </si>
  <si>
    <t>70D-RB-MATT-FOAM-</t>
  </si>
  <si>
    <t>90D-HYP-INSPREE-BLOCK-72X30X08</t>
  </si>
  <si>
    <t>25D-HELIXA-FOAM-</t>
  </si>
  <si>
    <t>VISTA-BOND-FOAM-BLOCK-72X30X04</t>
  </si>
  <si>
    <t>VISTA-BOND</t>
  </si>
  <si>
    <t>VISTA-BOND-FOAM-BLOCK-72X30X05</t>
  </si>
  <si>
    <t>VISTA-BOND-FOAM-BLOCK-72X30X06</t>
  </si>
  <si>
    <t>VISTA-BOND-FOAM-BLOCK-72X30X08</t>
  </si>
  <si>
    <t>WEDGE-PLW-FOAM-BLOCK-20X21X9X1</t>
  </si>
  <si>
    <t>WEDGE-PLW</t>
  </si>
  <si>
    <t>9X1</t>
  </si>
  <si>
    <t>32D-PU-FOAM-</t>
  </si>
  <si>
    <t>SK-GRADE-FOAM-</t>
  </si>
  <si>
    <t>90D-HYP-INS-ET</t>
  </si>
  <si>
    <t>90D-HYP-INS-ET-BLOCK-72X30X05</t>
  </si>
  <si>
    <t>90D-HYP-INS-ET-BLOCK-72X30X06</t>
  </si>
  <si>
    <t>90D-HYP-INS-ET-BLOCK-72X30X08</t>
  </si>
  <si>
    <t>25D-HXA-CONV-FM-</t>
  </si>
  <si>
    <t>90D-HYP-INS-ET08</t>
  </si>
  <si>
    <t>ORTHO-BOND-FOAM-BLOCK-72X30X04</t>
  </si>
  <si>
    <t>ORTHO-BOND</t>
  </si>
  <si>
    <t>ORTHO-BOND-FOAM-BLOCK-72X30X05</t>
  </si>
  <si>
    <t>ORTHO-BOND-FOAM-BLOCK-72X30X06</t>
  </si>
  <si>
    <t>HEAVEN-MEM-FOAM-BLOCK-72X30X05</t>
  </si>
  <si>
    <t>HEAVEN-MEM-FOAM-BLOCK-72X30X06</t>
  </si>
  <si>
    <t>HEAVEN-MEM-FOAM-BLOCK-72X30X08</t>
  </si>
  <si>
    <t>HEAVEN-MEM</t>
  </si>
  <si>
    <t>CORRECT</t>
  </si>
  <si>
    <t>40D-MDI-MEM-FOAM-72X30X20MM</t>
  </si>
  <si>
    <t>25D-HELIXA-FOAM-72X30X110MM</t>
  </si>
  <si>
    <t>NILL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</si>
</sst>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0" borderId="2" xfId="0" applyBorder="1"/>
    <xf numFmtId="0" fontId="1" fillId="4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3" xfId="0" applyFill="1" applyBorder="1" applyAlignment="1">
      <alignment horizontal="center" vertical="center"/>
    </xf>
  </cellXfs>
  <cellStyles count="4">
    <cellStyle name="Normal" xfId="0" builtinId="0"/>
    <cellStyle name="Normal 2" xfId="1"/>
    <cellStyle name="Normal 25" xfId="2"/>
    <cellStyle name="Normal 48" xfId="3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</xdr:row>
          <xdr:rowOff>0</xdr:rowOff>
        </xdr:from>
        <xdr:to>
          <xdr:col>4</xdr:col>
          <xdr:colOff>495300</xdr:colOff>
          <xdr:row>5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1019175</xdr:colOff>
          <xdr:row>0</xdr:row>
          <xdr:rowOff>0</xdr:rowOff>
        </xdr:from>
        <xdr:to>
          <xdr:col>5</xdr:col>
          <xdr:colOff>38100</xdr:colOff>
          <xdr:row>3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5"/>
  <sheetViews>
    <sheetView showGridLines="0" tabSelected="1" workbookViewId="0">
      <selection activeCell="A2" sqref="A2"/>
    </sheetView>
  </sheetViews>
  <sheetFormatPr defaultRowHeight="15" x14ac:dyDescent="0.25"/>
  <cols>
    <col min="1" max="1" width="37.140625" style="1" customWidth="1"/>
    <col min="2" max="2" width="10.7109375" style="1" customWidth="1"/>
    <col min="3" max="3" width="2" style="1" customWidth="1"/>
    <col min="4" max="4" width="9.140625" style="1"/>
    <col min="5" max="7" width="8.7109375" style="1" customWidth="1"/>
    <col min="8" max="8" width="11.7109375" style="1" hidden="1" customWidth="1"/>
    <col min="9" max="9" width="9.140625" style="1" hidden="1" customWidth="1"/>
    <col min="10" max="10" width="8.7109375" style="1" customWidth="1"/>
    <col min="11" max="11" width="7.28515625" style="1" hidden="1" customWidth="1"/>
    <col min="12" max="12" width="35.7109375" style="1" customWidth="1"/>
    <col min="13" max="13" width="10.7109375" style="1" customWidth="1"/>
    <col min="14" max="14" width="35.7109375" style="1" customWidth="1"/>
    <col min="15" max="15" width="10.7109375" style="1" customWidth="1"/>
    <col min="16" max="16" width="35.7109375" style="1" customWidth="1"/>
    <col min="17" max="17" width="10.7109375" style="1" customWidth="1"/>
    <col min="18" max="18" width="35.7109375" style="1" customWidth="1"/>
    <col min="19" max="19" width="10.7109375" style="1" customWidth="1"/>
    <col min="20" max="20" width="9.140625" style="1"/>
    <col min="21" max="21" width="9.140625" style="1" customWidth="1"/>
    <col min="22" max="22" width="14.5703125" style="1" hidden="1" customWidth="1"/>
    <col min="23" max="23" width="16.140625" style="1" hidden="1" customWidth="1"/>
    <col min="24" max="24" width="13" style="1" hidden="1" customWidth="1"/>
    <col min="25" max="25" width="5.7109375" style="1" hidden="1" customWidth="1"/>
    <col min="26" max="26" width="14.140625" style="1" hidden="1" customWidth="1"/>
    <col min="27" max="27" width="35.7109375" style="1" customWidth="1"/>
    <col min="28" max="28" width="10.7109375" style="1" customWidth="1"/>
  </cols>
  <sheetData>
    <row r="1" spans="1:28" x14ac:dyDescent="0.25">
      <c r="A1" s="12" t="s">
        <v>61</v>
      </c>
      <c r="B1" s="8" t="s">
        <v>62</v>
      </c>
      <c r="C1" s="4">
        <v>2</v>
      </c>
      <c r="D1" s="4"/>
      <c r="E1" s="4" t="s">
        <v>73</v>
      </c>
      <c r="F1" s="4" t="s">
        <v>74</v>
      </c>
      <c r="G1" s="4" t="s">
        <v>13</v>
      </c>
      <c r="H1" s="4"/>
      <c r="I1" s="4"/>
      <c r="J1" s="4" t="s">
        <v>75</v>
      </c>
      <c r="K1" s="4"/>
      <c r="L1" s="10" t="s">
        <v>63</v>
      </c>
      <c r="M1" s="10" t="s">
        <v>64</v>
      </c>
      <c r="N1" s="10" t="s">
        <v>65</v>
      </c>
      <c r="O1" s="10" t="s">
        <v>66</v>
      </c>
      <c r="P1" s="10" t="s">
        <v>67</v>
      </c>
      <c r="Q1" s="10" t="s">
        <v>68</v>
      </c>
      <c r="R1" s="10" t="s">
        <v>69</v>
      </c>
      <c r="S1" s="11" t="s">
        <v>70</v>
      </c>
      <c r="T1" s="4"/>
      <c r="U1" s="4"/>
      <c r="V1" s="4"/>
      <c r="W1" s="4"/>
      <c r="X1" s="4"/>
      <c r="Y1" s="4"/>
      <c r="Z1" s="4"/>
      <c r="AA1" s="12" t="s">
        <v>71</v>
      </c>
      <c r="AB1" s="8" t="s">
        <v>72</v>
      </c>
    </row>
    <row r="2" spans="1:28" ht="15.75" customHeight="1" x14ac:dyDescent="0.25">
      <c r="A2" s="17" t="s">
        <v>118</v>
      </c>
      <c r="B2" s="9">
        <v>35</v>
      </c>
      <c r="E2" s="9">
        <v>72</v>
      </c>
      <c r="F2" s="9">
        <v>30</v>
      </c>
      <c r="G2" s="9">
        <v>5</v>
      </c>
      <c r="H2" s="1" t="s">
        <v>121</v>
      </c>
      <c r="J2" s="9" t="s">
        <v>122</v>
      </c>
      <c r="L2" s="9" t="s">
        <v>123</v>
      </c>
      <c r="M2" s="9">
        <v>35</v>
      </c>
      <c r="N2" s="9" t="s">
        <v>124</v>
      </c>
      <c r="O2" s="9">
        <v>35</v>
      </c>
      <c r="P2" s="9" t="s">
        <v>125</v>
      </c>
      <c r="Q2" s="9">
        <v>0</v>
      </c>
      <c r="R2" s="9" t="s">
        <v>125</v>
      </c>
      <c r="S2" s="9">
        <v>0</v>
      </c>
      <c r="AA2" s="9" t="s">
        <v>123</v>
      </c>
      <c r="AB2" s="9">
        <v>35</v>
      </c>
    </row>
    <row r="3" spans="1:28" x14ac:dyDescent="0.25">
      <c r="AA3" s="9" t="s">
        <v>124</v>
      </c>
      <c r="AB3" s="9">
        <v>35</v>
      </c>
    </row>
    <row r="4" spans="1:28" x14ac:dyDescent="0.25">
      <c r="AA4" s="9" t="s">
        <v>125</v>
      </c>
      <c r="AB4" s="9">
        <v>0</v>
      </c>
    </row>
    <row r="5" spans="1:28" x14ac:dyDescent="0.25">
      <c r="AA5" s="9" t="s">
        <v>125</v>
      </c>
      <c r="AB5" s="9">
        <v>0</v>
      </c>
    </row>
  </sheetData>
  <conditionalFormatting sqref="A1">
    <cfRule type="duplicateValues" dxfId="6" priority="474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2</xdr:col>
                <xdr:colOff>85725</xdr:colOff>
                <xdr:row>1</xdr:row>
                <xdr:rowOff>0</xdr:rowOff>
              </from>
              <to>
                <xdr:col>4</xdr:col>
                <xdr:colOff>495300</xdr:colOff>
                <xdr:row>5</xdr:row>
                <xdr:rowOff>171450</xdr:rowOff>
              </to>
            </anchor>
          </controlPr>
        </control>
      </mc:Choice>
      <mc:Fallback>
        <control shapeId="1027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22"/>
  <sheetViews>
    <sheetView showGridLines="0" workbookViewId="0">
      <selection activeCell="F1" sqref="F1"/>
    </sheetView>
  </sheetViews>
  <sheetFormatPr defaultRowHeight="15" x14ac:dyDescent="0.25"/>
  <cols>
    <col min="1" max="1" width="9.140625" style="1"/>
    <col min="2" max="2" width="20.7109375" style="1" customWidth="1"/>
    <col min="3" max="3" width="60.7109375" style="1" customWidth="1"/>
    <col min="4" max="4" width="20.7109375" style="1" customWidth="1"/>
    <col min="5" max="5" width="15.7109375" style="1" customWidth="1"/>
    <col min="6" max="28" width="9.140625" style="1"/>
  </cols>
  <sheetData>
    <row r="1" spans="1:5" x14ac:dyDescent="0.25">
      <c r="A1" s="14"/>
    </row>
    <row r="2" spans="1:5" hidden="1" x14ac:dyDescent="0.25">
      <c r="B2" s="1" t="s">
        <v>108</v>
      </c>
      <c r="C2" s="1">
        <v>8</v>
      </c>
      <c r="D2" s="1" t="s">
        <v>113</v>
      </c>
    </row>
    <row r="3" spans="1:5" x14ac:dyDescent="0.25">
      <c r="B3" s="14"/>
    </row>
    <row r="7" spans="1:5" x14ac:dyDescent="0.25">
      <c r="B7"/>
      <c r="C7"/>
      <c r="D7"/>
      <c r="E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  <c r="E19"/>
    </row>
    <row r="20" spans="2:5" x14ac:dyDescent="0.25">
      <c r="B20"/>
      <c r="C20"/>
      <c r="D20"/>
      <c r="E20"/>
    </row>
    <row r="21" spans="2:5" x14ac:dyDescent="0.25">
      <c r="B21"/>
      <c r="C21"/>
      <c r="D21"/>
      <c r="E21"/>
    </row>
    <row r="22" spans="2:5" x14ac:dyDescent="0.25">
      <c r="B22"/>
      <c r="C22"/>
      <c r="D22"/>
      <c r="E22"/>
    </row>
  </sheetData>
  <conditionalFormatting sqref="A1">
    <cfRule type="duplicateValues" dxfId="5" priority="1"/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3</xdr:col>
                <xdr:colOff>1019175</xdr:colOff>
                <xdr:row>0</xdr:row>
                <xdr:rowOff>0</xdr:rowOff>
              </from>
              <to>
                <xdr:col>5</xdr:col>
                <xdr:colOff>38100</xdr:colOff>
                <xdr:row>3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6"/>
  <sheetViews>
    <sheetView showFormulas="1" workbookViewId="0">
      <pane ySplit="1" topLeftCell="A36" activePane="bottomLeft" state="frozen"/>
      <selection activeCell="E1" sqref="E1"/>
      <selection pane="bottomLeft"/>
    </sheetView>
  </sheetViews>
  <sheetFormatPr defaultColWidth="12.140625" defaultRowHeight="15" x14ac:dyDescent="0.25"/>
  <cols>
    <col min="1" max="1" width="10" style="1" customWidth="1"/>
    <col min="2" max="2" width="18.28515625" style="1" bestFit="1" customWidth="1"/>
    <col min="3" max="3" width="18.85546875" style="1" customWidth="1"/>
    <col min="4" max="4" width="10" style="1" bestFit="1" customWidth="1"/>
    <col min="5" max="6" width="20.85546875" style="1" bestFit="1" customWidth="1"/>
    <col min="7" max="7" width="14.85546875" style="1" bestFit="1" customWidth="1"/>
    <col min="8" max="8" width="20.140625" style="1" bestFit="1" customWidth="1"/>
    <col min="9" max="9" width="14.85546875" style="1" bestFit="1" customWidth="1"/>
    <col min="10" max="10" width="20.140625" style="1" bestFit="1" customWidth="1"/>
    <col min="11" max="11" width="14.85546875" style="1" bestFit="1" customWidth="1"/>
    <col min="12" max="12" width="14.5703125" style="1" bestFit="1" customWidth="1"/>
    <col min="13" max="13" width="14.85546875" style="1" bestFit="1" customWidth="1"/>
    <col min="14" max="16384" width="12.140625" style="1"/>
  </cols>
  <sheetData>
    <row r="1" spans="1:13" x14ac:dyDescent="0.25">
      <c r="A1" s="2" t="s">
        <v>10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  <c r="I1" s="2" t="s">
        <v>18</v>
      </c>
      <c r="J1" s="2" t="s">
        <v>19</v>
      </c>
      <c r="K1" s="2" t="s">
        <v>20</v>
      </c>
      <c r="L1" s="2" t="s">
        <v>21</v>
      </c>
      <c r="M1" s="2" t="s">
        <v>22</v>
      </c>
    </row>
    <row r="2" spans="1:13" x14ac:dyDescent="0.25">
      <c r="A2" s="3">
        <v>1</v>
      </c>
      <c r="B2" s="3" t="s">
        <v>23</v>
      </c>
      <c r="C2" s="3" t="s">
        <v>24</v>
      </c>
      <c r="D2" s="3">
        <v>4</v>
      </c>
      <c r="E2" s="3" t="str">
        <f>CONCATENATE(C2,"0",D2)</f>
        <v>FOAMERA04</v>
      </c>
      <c r="F2" s="5" t="s">
        <v>97</v>
      </c>
      <c r="G2" s="3">
        <v>25</v>
      </c>
      <c r="H2" s="3" t="s">
        <v>95</v>
      </c>
      <c r="I2" s="3">
        <v>70</v>
      </c>
      <c r="J2" s="3" t="s">
        <v>25</v>
      </c>
      <c r="K2" s="3" t="s">
        <v>26</v>
      </c>
      <c r="L2" s="3" t="s">
        <v>25</v>
      </c>
      <c r="M2" s="3" t="s">
        <v>26</v>
      </c>
    </row>
    <row r="3" spans="1:13" x14ac:dyDescent="0.25">
      <c r="A3" s="3">
        <v>2</v>
      </c>
      <c r="B3" s="3" t="s">
        <v>27</v>
      </c>
      <c r="C3" s="3" t="s">
        <v>24</v>
      </c>
      <c r="D3" s="3">
        <v>5</v>
      </c>
      <c r="E3" s="3" t="str">
        <f t="shared" ref="E3:E50" si="0">CONCATENATE(C3,"0",D3)</f>
        <v>FOAMERA05</v>
      </c>
      <c r="F3" s="5" t="s">
        <v>97</v>
      </c>
      <c r="G3" s="3">
        <v>25</v>
      </c>
      <c r="H3" s="3" t="s">
        <v>95</v>
      </c>
      <c r="I3" s="3">
        <v>90</v>
      </c>
      <c r="J3" s="3" t="s">
        <v>25</v>
      </c>
      <c r="K3" s="3" t="s">
        <v>26</v>
      </c>
      <c r="L3" s="3" t="s">
        <v>25</v>
      </c>
      <c r="M3" s="3" t="s">
        <v>26</v>
      </c>
    </row>
    <row r="4" spans="1:13" x14ac:dyDescent="0.25">
      <c r="A4" s="3">
        <v>3</v>
      </c>
      <c r="B4" s="3" t="s">
        <v>28</v>
      </c>
      <c r="C4" s="3" t="s">
        <v>24</v>
      </c>
      <c r="D4" s="3">
        <v>6</v>
      </c>
      <c r="E4" s="3" t="str">
        <f t="shared" si="0"/>
        <v>FOAMERA06</v>
      </c>
      <c r="F4" s="5" t="s">
        <v>97</v>
      </c>
      <c r="G4" s="3">
        <v>25</v>
      </c>
      <c r="H4" s="3" t="s">
        <v>95</v>
      </c>
      <c r="I4" s="3">
        <v>115</v>
      </c>
      <c r="J4" s="3" t="s">
        <v>25</v>
      </c>
      <c r="K4" s="3" t="s">
        <v>26</v>
      </c>
      <c r="L4" s="3" t="s">
        <v>25</v>
      </c>
      <c r="M4" s="3" t="s">
        <v>26</v>
      </c>
    </row>
    <row r="5" spans="1:13" x14ac:dyDescent="0.25">
      <c r="A5" s="3">
        <v>4</v>
      </c>
      <c r="B5" s="3" t="s">
        <v>3</v>
      </c>
      <c r="C5" s="3" t="s">
        <v>29</v>
      </c>
      <c r="D5" s="3">
        <v>5</v>
      </c>
      <c r="E5" s="3" t="str">
        <f t="shared" si="0"/>
        <v>MEMORIO05</v>
      </c>
      <c r="F5" s="5" t="s">
        <v>97</v>
      </c>
      <c r="G5" s="3">
        <v>25</v>
      </c>
      <c r="H5" s="3" t="s">
        <v>106</v>
      </c>
      <c r="I5" s="3">
        <v>90</v>
      </c>
      <c r="J5" s="3" t="s">
        <v>25</v>
      </c>
      <c r="K5" s="3" t="s">
        <v>26</v>
      </c>
      <c r="L5" s="3" t="s">
        <v>25</v>
      </c>
      <c r="M5" s="3" t="s">
        <v>26</v>
      </c>
    </row>
    <row r="6" spans="1:13" x14ac:dyDescent="0.25">
      <c r="A6" s="3">
        <v>5</v>
      </c>
      <c r="B6" s="3" t="s">
        <v>4</v>
      </c>
      <c r="C6" s="3" t="s">
        <v>29</v>
      </c>
      <c r="D6" s="3">
        <v>6</v>
      </c>
      <c r="E6" s="3" t="str">
        <f t="shared" si="0"/>
        <v>MEMORIO06</v>
      </c>
      <c r="F6" s="5" t="s">
        <v>97</v>
      </c>
      <c r="G6" s="3">
        <v>25</v>
      </c>
      <c r="H6" s="3" t="s">
        <v>106</v>
      </c>
      <c r="I6" s="3">
        <v>110</v>
      </c>
      <c r="J6" s="3" t="s">
        <v>25</v>
      </c>
      <c r="K6" s="3" t="s">
        <v>26</v>
      </c>
      <c r="L6" s="3" t="s">
        <v>25</v>
      </c>
      <c r="M6" s="3" t="s">
        <v>26</v>
      </c>
    </row>
    <row r="7" spans="1:13" x14ac:dyDescent="0.25">
      <c r="A7" s="3">
        <v>6</v>
      </c>
      <c r="B7" s="3" t="s">
        <v>0</v>
      </c>
      <c r="C7" s="3" t="s">
        <v>29</v>
      </c>
      <c r="D7" s="3">
        <v>8</v>
      </c>
      <c r="E7" s="3" t="str">
        <f t="shared" si="0"/>
        <v>MEMORIO08</v>
      </c>
      <c r="F7" s="5" t="s">
        <v>97</v>
      </c>
      <c r="G7" s="3">
        <v>50</v>
      </c>
      <c r="H7" s="3" t="s">
        <v>106</v>
      </c>
      <c r="I7" s="3">
        <v>130</v>
      </c>
      <c r="J7" s="3" t="s">
        <v>25</v>
      </c>
      <c r="K7" s="3" t="s">
        <v>26</v>
      </c>
      <c r="L7" s="3" t="s">
        <v>25</v>
      </c>
      <c r="M7" s="3" t="s">
        <v>26</v>
      </c>
    </row>
    <row r="8" spans="1:13" x14ac:dyDescent="0.25">
      <c r="A8" s="3">
        <v>7</v>
      </c>
      <c r="B8" s="3" t="s">
        <v>1</v>
      </c>
      <c r="C8" s="3" t="s">
        <v>31</v>
      </c>
      <c r="D8" s="3">
        <v>5</v>
      </c>
      <c r="E8" s="3" t="str">
        <f t="shared" si="0"/>
        <v>SPINE-SAFE05</v>
      </c>
      <c r="F8" s="3" t="s">
        <v>76</v>
      </c>
      <c r="G8" s="3">
        <v>20</v>
      </c>
      <c r="H8" s="3" t="s">
        <v>97</v>
      </c>
      <c r="I8" s="3">
        <v>25</v>
      </c>
      <c r="J8" s="3" t="s">
        <v>95</v>
      </c>
      <c r="K8" s="3">
        <v>90</v>
      </c>
      <c r="L8" s="3" t="s">
        <v>25</v>
      </c>
      <c r="M8" s="3" t="s">
        <v>26</v>
      </c>
    </row>
    <row r="9" spans="1:13" x14ac:dyDescent="0.25">
      <c r="A9" s="3">
        <v>8</v>
      </c>
      <c r="B9" s="3" t="s">
        <v>5</v>
      </c>
      <c r="C9" s="3" t="s">
        <v>31</v>
      </c>
      <c r="D9" s="3">
        <v>6</v>
      </c>
      <c r="E9" s="3" t="str">
        <f t="shared" si="0"/>
        <v>SPINE-SAFE06</v>
      </c>
      <c r="F9" s="3" t="s">
        <v>76</v>
      </c>
      <c r="G9" s="3">
        <v>20</v>
      </c>
      <c r="H9" s="3" t="s">
        <v>97</v>
      </c>
      <c r="I9" s="3">
        <v>25</v>
      </c>
      <c r="J9" s="3" t="s">
        <v>95</v>
      </c>
      <c r="K9" s="3">
        <v>110</v>
      </c>
      <c r="L9" s="3" t="s">
        <v>25</v>
      </c>
      <c r="M9" s="3" t="s">
        <v>26</v>
      </c>
    </row>
    <row r="10" spans="1:13" x14ac:dyDescent="0.25">
      <c r="A10" s="3">
        <v>9</v>
      </c>
      <c r="B10" s="3" t="s">
        <v>6</v>
      </c>
      <c r="C10" s="3" t="s">
        <v>31</v>
      </c>
      <c r="D10" s="3">
        <v>8</v>
      </c>
      <c r="E10" s="3" t="str">
        <f t="shared" si="0"/>
        <v>SPINE-SAFE08</v>
      </c>
      <c r="F10" s="3" t="s">
        <v>76</v>
      </c>
      <c r="G10" s="3">
        <v>20</v>
      </c>
      <c r="H10" s="3" t="s">
        <v>97</v>
      </c>
      <c r="I10" s="3">
        <v>50</v>
      </c>
      <c r="J10" s="3" t="s">
        <v>95</v>
      </c>
      <c r="K10" s="3">
        <v>130</v>
      </c>
      <c r="L10" s="3" t="s">
        <v>25</v>
      </c>
      <c r="M10" s="3" t="s">
        <v>26</v>
      </c>
    </row>
    <row r="11" spans="1:13" x14ac:dyDescent="0.25">
      <c r="A11" s="3">
        <v>10</v>
      </c>
      <c r="B11" s="3" t="s">
        <v>34</v>
      </c>
      <c r="C11" s="3" t="s">
        <v>35</v>
      </c>
      <c r="D11" s="3">
        <v>5</v>
      </c>
      <c r="E11" s="3" t="str">
        <f t="shared" si="0"/>
        <v>MEM-ULTRA05</v>
      </c>
      <c r="F11" s="3" t="s">
        <v>76</v>
      </c>
      <c r="G11" s="3">
        <v>20</v>
      </c>
      <c r="H11" s="3" t="s">
        <v>97</v>
      </c>
      <c r="I11" s="3">
        <v>25</v>
      </c>
      <c r="J11" s="3" t="s">
        <v>106</v>
      </c>
      <c r="K11" s="3">
        <v>90</v>
      </c>
      <c r="L11" s="3" t="s">
        <v>25</v>
      </c>
      <c r="M11" s="3" t="s">
        <v>26</v>
      </c>
    </row>
    <row r="12" spans="1:13" x14ac:dyDescent="0.25">
      <c r="A12" s="3">
        <v>11</v>
      </c>
      <c r="B12" s="3" t="s">
        <v>36</v>
      </c>
      <c r="C12" s="3" t="s">
        <v>35</v>
      </c>
      <c r="D12" s="3">
        <v>6</v>
      </c>
      <c r="E12" s="3" t="str">
        <f t="shared" si="0"/>
        <v>MEM-ULTRA06</v>
      </c>
      <c r="F12" s="3" t="s">
        <v>76</v>
      </c>
      <c r="G12" s="3">
        <v>20</v>
      </c>
      <c r="H12" s="3" t="s">
        <v>97</v>
      </c>
      <c r="I12" s="3">
        <v>25</v>
      </c>
      <c r="J12" s="3" t="s">
        <v>106</v>
      </c>
      <c r="K12" s="3">
        <v>110</v>
      </c>
      <c r="L12" s="3" t="s">
        <v>25</v>
      </c>
      <c r="M12" s="3" t="s">
        <v>26</v>
      </c>
    </row>
    <row r="13" spans="1:13" x14ac:dyDescent="0.25">
      <c r="A13" s="3">
        <v>12</v>
      </c>
      <c r="B13" s="3" t="s">
        <v>37</v>
      </c>
      <c r="C13" s="3" t="s">
        <v>35</v>
      </c>
      <c r="D13" s="3">
        <v>8</v>
      </c>
      <c r="E13" s="3" t="str">
        <f t="shared" si="0"/>
        <v>MEM-ULTRA08</v>
      </c>
      <c r="F13" s="3" t="s">
        <v>76</v>
      </c>
      <c r="G13" s="3">
        <v>20</v>
      </c>
      <c r="H13" s="3" t="s">
        <v>97</v>
      </c>
      <c r="I13" s="3">
        <v>50</v>
      </c>
      <c r="J13" s="3" t="s">
        <v>106</v>
      </c>
      <c r="K13" s="3">
        <v>130</v>
      </c>
      <c r="L13" s="3" t="s">
        <v>25</v>
      </c>
      <c r="M13" s="3" t="s">
        <v>26</v>
      </c>
    </row>
    <row r="14" spans="1:13" x14ac:dyDescent="0.25">
      <c r="A14" s="3">
        <v>13</v>
      </c>
      <c r="B14" s="3" t="s">
        <v>38</v>
      </c>
      <c r="C14" s="3" t="s">
        <v>39</v>
      </c>
      <c r="D14" s="3">
        <v>4</v>
      </c>
      <c r="E14" s="3" t="str">
        <f t="shared" si="0"/>
        <v>INSPREE04</v>
      </c>
      <c r="F14" s="3" t="s">
        <v>33</v>
      </c>
      <c r="G14" s="3">
        <v>20</v>
      </c>
      <c r="H14" s="3" t="s">
        <v>40</v>
      </c>
      <c r="I14" s="3">
        <v>63</v>
      </c>
      <c r="J14" s="3" t="s">
        <v>33</v>
      </c>
      <c r="K14" s="3">
        <v>20</v>
      </c>
      <c r="L14" s="3" t="s">
        <v>25</v>
      </c>
      <c r="M14" s="3" t="s">
        <v>26</v>
      </c>
    </row>
    <row r="15" spans="1:13" x14ac:dyDescent="0.25">
      <c r="A15" s="3">
        <v>14</v>
      </c>
      <c r="B15" s="3" t="s">
        <v>41</v>
      </c>
      <c r="C15" s="3" t="s">
        <v>39</v>
      </c>
      <c r="D15" s="3">
        <v>5</v>
      </c>
      <c r="E15" s="3" t="str">
        <f t="shared" si="0"/>
        <v>INSPREE05</v>
      </c>
      <c r="F15" s="3" t="s">
        <v>33</v>
      </c>
      <c r="G15" s="3">
        <v>20</v>
      </c>
      <c r="H15" s="3" t="s">
        <v>40</v>
      </c>
      <c r="I15" s="3">
        <v>88</v>
      </c>
      <c r="J15" s="3" t="s">
        <v>33</v>
      </c>
      <c r="K15" s="3">
        <v>20</v>
      </c>
      <c r="L15" s="3" t="s">
        <v>25</v>
      </c>
      <c r="M15" s="3" t="s">
        <v>26</v>
      </c>
    </row>
    <row r="16" spans="1:13" x14ac:dyDescent="0.25">
      <c r="A16" s="3">
        <v>15</v>
      </c>
      <c r="B16" s="3" t="s">
        <v>42</v>
      </c>
      <c r="C16" s="3" t="s">
        <v>39</v>
      </c>
      <c r="D16" s="3">
        <v>6</v>
      </c>
      <c r="E16" s="3" t="str">
        <f t="shared" si="0"/>
        <v>INSPREE06</v>
      </c>
      <c r="F16" s="3" t="s">
        <v>33</v>
      </c>
      <c r="G16" s="3">
        <v>20</v>
      </c>
      <c r="H16" s="3" t="s">
        <v>40</v>
      </c>
      <c r="I16" s="3">
        <v>110</v>
      </c>
      <c r="J16" s="3" t="s">
        <v>33</v>
      </c>
      <c r="K16" s="3">
        <v>20</v>
      </c>
      <c r="L16" s="3" t="s">
        <v>25</v>
      </c>
      <c r="M16" s="3" t="s">
        <v>26</v>
      </c>
    </row>
    <row r="17" spans="1:13" x14ac:dyDescent="0.25">
      <c r="A17" s="3">
        <v>16</v>
      </c>
      <c r="B17" s="3" t="s">
        <v>43</v>
      </c>
      <c r="C17" s="3" t="s">
        <v>44</v>
      </c>
      <c r="D17" s="3">
        <v>4</v>
      </c>
      <c r="E17" s="3" t="str">
        <f t="shared" si="0"/>
        <v>FURNO04</v>
      </c>
      <c r="F17" s="3" t="s">
        <v>107</v>
      </c>
      <c r="G17" s="3">
        <v>25</v>
      </c>
      <c r="H17" s="3" t="s">
        <v>95</v>
      </c>
      <c r="I17" s="3">
        <v>70</v>
      </c>
      <c r="J17" s="3" t="s">
        <v>25</v>
      </c>
      <c r="K17" s="3" t="s">
        <v>26</v>
      </c>
      <c r="L17" s="3" t="s">
        <v>25</v>
      </c>
      <c r="M17" s="3" t="s">
        <v>26</v>
      </c>
    </row>
    <row r="18" spans="1:13" x14ac:dyDescent="0.25">
      <c r="A18" s="3">
        <v>17</v>
      </c>
      <c r="B18" s="3" t="s">
        <v>46</v>
      </c>
      <c r="C18" s="3" t="s">
        <v>44</v>
      </c>
      <c r="D18" s="3">
        <v>5</v>
      </c>
      <c r="E18" s="3" t="str">
        <f t="shared" si="0"/>
        <v>FURNO05</v>
      </c>
      <c r="F18" s="3" t="s">
        <v>107</v>
      </c>
      <c r="G18" s="3">
        <v>25</v>
      </c>
      <c r="H18" s="3" t="s">
        <v>95</v>
      </c>
      <c r="I18" s="3">
        <v>90</v>
      </c>
      <c r="J18" s="3" t="s">
        <v>25</v>
      </c>
      <c r="K18" s="3" t="s">
        <v>26</v>
      </c>
      <c r="L18" s="3" t="s">
        <v>25</v>
      </c>
      <c r="M18" s="3" t="s">
        <v>26</v>
      </c>
    </row>
    <row r="19" spans="1:13" x14ac:dyDescent="0.25">
      <c r="A19" s="3">
        <v>18</v>
      </c>
      <c r="B19" s="3" t="s">
        <v>47</v>
      </c>
      <c r="C19" s="3" t="s">
        <v>44</v>
      </c>
      <c r="D19" s="3">
        <v>6</v>
      </c>
      <c r="E19" s="3" t="str">
        <f t="shared" si="0"/>
        <v>FURNO06</v>
      </c>
      <c r="F19" s="3" t="s">
        <v>107</v>
      </c>
      <c r="G19" s="3">
        <v>25</v>
      </c>
      <c r="H19" s="3" t="s">
        <v>95</v>
      </c>
      <c r="I19" s="3">
        <v>115</v>
      </c>
      <c r="J19" s="3" t="s">
        <v>25</v>
      </c>
      <c r="K19" s="3" t="s">
        <v>26</v>
      </c>
      <c r="L19" s="3" t="s">
        <v>25</v>
      </c>
      <c r="M19" s="3" t="s">
        <v>26</v>
      </c>
    </row>
    <row r="20" spans="1:13" x14ac:dyDescent="0.25">
      <c r="A20" s="3">
        <v>19</v>
      </c>
      <c r="B20" s="3" t="s">
        <v>48</v>
      </c>
      <c r="C20" s="3" t="s">
        <v>49</v>
      </c>
      <c r="D20" s="3">
        <v>4</v>
      </c>
      <c r="E20" s="3" t="str">
        <f t="shared" si="0"/>
        <v>MIRAGE04</v>
      </c>
      <c r="F20" s="3" t="s">
        <v>77</v>
      </c>
      <c r="G20" s="3">
        <v>30</v>
      </c>
      <c r="H20" s="3" t="s">
        <v>50</v>
      </c>
      <c r="I20" s="3">
        <v>65</v>
      </c>
      <c r="J20" s="3" t="s">
        <v>25</v>
      </c>
      <c r="K20" s="3" t="s">
        <v>26</v>
      </c>
      <c r="L20" s="3" t="s">
        <v>25</v>
      </c>
      <c r="M20" s="3" t="s">
        <v>26</v>
      </c>
    </row>
    <row r="21" spans="1:13" x14ac:dyDescent="0.25">
      <c r="A21" s="3">
        <v>20</v>
      </c>
      <c r="B21" s="3" t="s">
        <v>51</v>
      </c>
      <c r="C21" s="3" t="s">
        <v>49</v>
      </c>
      <c r="D21" s="3">
        <v>5</v>
      </c>
      <c r="E21" s="3" t="str">
        <f t="shared" si="0"/>
        <v>MIRAGE05</v>
      </c>
      <c r="F21" s="3" t="s">
        <v>77</v>
      </c>
      <c r="G21" s="3">
        <v>40</v>
      </c>
      <c r="H21" s="3" t="s">
        <v>50</v>
      </c>
      <c r="I21" s="3">
        <v>80</v>
      </c>
      <c r="J21" s="3" t="s">
        <v>25</v>
      </c>
      <c r="K21" s="3" t="s">
        <v>26</v>
      </c>
      <c r="L21" s="3" t="s">
        <v>25</v>
      </c>
      <c r="M21" s="3" t="s">
        <v>26</v>
      </c>
    </row>
    <row r="22" spans="1:13" x14ac:dyDescent="0.25">
      <c r="A22" s="3">
        <v>21</v>
      </c>
      <c r="B22" s="3" t="s">
        <v>2</v>
      </c>
      <c r="C22" s="3" t="s">
        <v>49</v>
      </c>
      <c r="D22" s="3">
        <v>6</v>
      </c>
      <c r="E22" s="3" t="str">
        <f t="shared" si="0"/>
        <v>MIRAGE06</v>
      </c>
      <c r="F22" s="3" t="s">
        <v>30</v>
      </c>
      <c r="G22" s="3">
        <v>20</v>
      </c>
      <c r="H22" s="3" t="s">
        <v>50</v>
      </c>
      <c r="I22" s="3">
        <v>105</v>
      </c>
      <c r="J22" s="3" t="s">
        <v>25</v>
      </c>
      <c r="K22" s="3" t="s">
        <v>26</v>
      </c>
      <c r="L22" s="3" t="s">
        <v>25</v>
      </c>
      <c r="M22" s="3" t="s">
        <v>26</v>
      </c>
    </row>
    <row r="23" spans="1:13" x14ac:dyDescent="0.25">
      <c r="A23" s="3">
        <v>22</v>
      </c>
      <c r="B23" s="3" t="s">
        <v>7</v>
      </c>
      <c r="C23" s="3" t="s">
        <v>52</v>
      </c>
      <c r="D23" s="3">
        <v>5</v>
      </c>
      <c r="E23" s="3" t="str">
        <f t="shared" si="0"/>
        <v>PANORAMA05</v>
      </c>
      <c r="F23" s="3" t="s">
        <v>76</v>
      </c>
      <c r="G23" s="3">
        <v>20</v>
      </c>
      <c r="H23" s="3" t="s">
        <v>97</v>
      </c>
      <c r="I23" s="3">
        <v>110</v>
      </c>
      <c r="J23" s="3" t="s">
        <v>25</v>
      </c>
      <c r="K23" s="3" t="s">
        <v>26</v>
      </c>
      <c r="L23" s="3" t="s">
        <v>25</v>
      </c>
      <c r="M23" s="3" t="s">
        <v>26</v>
      </c>
    </row>
    <row r="24" spans="1:13" x14ac:dyDescent="0.25">
      <c r="A24" s="3">
        <v>23</v>
      </c>
      <c r="B24" s="3" t="s">
        <v>8</v>
      </c>
      <c r="C24" s="3" t="s">
        <v>52</v>
      </c>
      <c r="D24" s="3">
        <v>6</v>
      </c>
      <c r="E24" s="3" t="str">
        <f t="shared" si="0"/>
        <v>PANORAMA06</v>
      </c>
      <c r="F24" s="3" t="s">
        <v>76</v>
      </c>
      <c r="G24" s="3">
        <v>20</v>
      </c>
      <c r="H24" s="3" t="s">
        <v>97</v>
      </c>
      <c r="I24" s="3">
        <v>130</v>
      </c>
      <c r="J24" s="3" t="s">
        <v>25</v>
      </c>
      <c r="K24" s="3" t="s">
        <v>26</v>
      </c>
      <c r="L24" s="3" t="s">
        <v>25</v>
      </c>
      <c r="M24" s="3" t="s">
        <v>26</v>
      </c>
    </row>
    <row r="25" spans="1:13" x14ac:dyDescent="0.25">
      <c r="A25" s="3">
        <v>24</v>
      </c>
      <c r="B25" s="3" t="s">
        <v>9</v>
      </c>
      <c r="C25" s="3" t="s">
        <v>52</v>
      </c>
      <c r="D25" s="3">
        <v>8</v>
      </c>
      <c r="E25" s="3" t="str">
        <f t="shared" si="0"/>
        <v>PANORAMA08</v>
      </c>
      <c r="F25" s="3" t="s">
        <v>76</v>
      </c>
      <c r="G25" s="3">
        <v>20</v>
      </c>
      <c r="H25" s="3" t="s">
        <v>97</v>
      </c>
      <c r="I25" s="3">
        <v>185</v>
      </c>
      <c r="J25" s="3" t="s">
        <v>25</v>
      </c>
      <c r="K25" s="3" t="s">
        <v>26</v>
      </c>
      <c r="L25" s="3" t="s">
        <v>25</v>
      </c>
      <c r="M25" s="3" t="s">
        <v>26</v>
      </c>
    </row>
    <row r="26" spans="1:13" x14ac:dyDescent="0.25">
      <c r="A26" s="3">
        <v>25</v>
      </c>
      <c r="B26" s="3" t="s">
        <v>53</v>
      </c>
      <c r="C26" s="3" t="s">
        <v>54</v>
      </c>
      <c r="D26" s="3">
        <v>4</v>
      </c>
      <c r="E26" s="3" t="str">
        <f t="shared" si="0"/>
        <v>INSPREE-RB-50D04</v>
      </c>
      <c r="F26" s="3" t="s">
        <v>55</v>
      </c>
      <c r="G26" s="3">
        <v>20</v>
      </c>
      <c r="H26" s="3" t="s">
        <v>56</v>
      </c>
      <c r="I26" s="3">
        <v>75</v>
      </c>
      <c r="J26" s="3" t="s">
        <v>25</v>
      </c>
      <c r="K26" s="3" t="s">
        <v>26</v>
      </c>
      <c r="L26" s="3" t="s">
        <v>25</v>
      </c>
      <c r="M26" s="3" t="s">
        <v>26</v>
      </c>
    </row>
    <row r="27" spans="1:13" x14ac:dyDescent="0.25">
      <c r="A27" s="3">
        <v>26</v>
      </c>
      <c r="B27" s="3" t="s">
        <v>57</v>
      </c>
      <c r="C27" s="3" t="s">
        <v>54</v>
      </c>
      <c r="D27" s="3">
        <v>5</v>
      </c>
      <c r="E27" s="3" t="str">
        <f t="shared" si="0"/>
        <v>INSPREE-RB-50D05</v>
      </c>
      <c r="F27" s="3" t="s">
        <v>55</v>
      </c>
      <c r="G27" s="3">
        <v>20</v>
      </c>
      <c r="H27" s="3" t="s">
        <v>56</v>
      </c>
      <c r="I27" s="3">
        <v>95</v>
      </c>
      <c r="J27" s="3" t="s">
        <v>25</v>
      </c>
      <c r="K27" s="3" t="s">
        <v>26</v>
      </c>
      <c r="L27" s="3" t="s">
        <v>25</v>
      </c>
      <c r="M27" s="3" t="s">
        <v>26</v>
      </c>
    </row>
    <row r="28" spans="1:13" x14ac:dyDescent="0.25">
      <c r="A28" s="3">
        <v>27</v>
      </c>
      <c r="B28" s="3" t="s">
        <v>58</v>
      </c>
      <c r="C28" s="3" t="s">
        <v>54</v>
      </c>
      <c r="D28" s="3">
        <v>6</v>
      </c>
      <c r="E28" s="3" t="str">
        <f t="shared" si="0"/>
        <v>INSPREE-RB-50D06</v>
      </c>
      <c r="F28" s="3" t="s">
        <v>55</v>
      </c>
      <c r="G28" s="3">
        <v>20</v>
      </c>
      <c r="H28" s="3" t="s">
        <v>56</v>
      </c>
      <c r="I28" s="3">
        <v>95</v>
      </c>
      <c r="J28" s="3" t="s">
        <v>55</v>
      </c>
      <c r="K28" s="3">
        <v>20</v>
      </c>
      <c r="L28" s="3" t="s">
        <v>25</v>
      </c>
      <c r="M28" s="3" t="s">
        <v>26</v>
      </c>
    </row>
    <row r="29" spans="1:13" x14ac:dyDescent="0.25">
      <c r="A29" s="5">
        <v>28</v>
      </c>
      <c r="B29" s="3" t="s">
        <v>59</v>
      </c>
      <c r="C29" s="3" t="s">
        <v>60</v>
      </c>
      <c r="D29" s="5">
        <v>6</v>
      </c>
      <c r="E29" s="5" t="str">
        <f t="shared" si="0"/>
        <v>INSPREE-PLUSH-50D06</v>
      </c>
      <c r="F29" s="5" t="s">
        <v>32</v>
      </c>
      <c r="G29" s="5">
        <v>20</v>
      </c>
      <c r="H29" s="5" t="s">
        <v>55</v>
      </c>
      <c r="I29" s="5">
        <v>20</v>
      </c>
      <c r="J29" s="5" t="s">
        <v>56</v>
      </c>
      <c r="K29" s="5">
        <v>95</v>
      </c>
      <c r="L29" s="5" t="s">
        <v>25</v>
      </c>
      <c r="M29" s="5" t="s">
        <v>26</v>
      </c>
    </row>
    <row r="30" spans="1:13" x14ac:dyDescent="0.25">
      <c r="A30" s="5">
        <v>29</v>
      </c>
      <c r="B30" s="3" t="s">
        <v>78</v>
      </c>
      <c r="C30" s="3" t="s">
        <v>81</v>
      </c>
      <c r="D30" s="5">
        <v>4</v>
      </c>
      <c r="E30" s="5" t="str">
        <f t="shared" si="0"/>
        <v>KOZY-BREEZE04</v>
      </c>
      <c r="F30" s="3" t="s">
        <v>107</v>
      </c>
      <c r="G30" s="5">
        <v>25</v>
      </c>
      <c r="H30" s="3" t="s">
        <v>95</v>
      </c>
      <c r="I30" s="5">
        <v>70</v>
      </c>
      <c r="J30" s="5" t="s">
        <v>25</v>
      </c>
      <c r="K30" s="5" t="s">
        <v>26</v>
      </c>
      <c r="L30" s="5" t="s">
        <v>25</v>
      </c>
      <c r="M30" s="5" t="s">
        <v>26</v>
      </c>
    </row>
    <row r="31" spans="1:13" x14ac:dyDescent="0.25">
      <c r="A31" s="5">
        <v>30</v>
      </c>
      <c r="B31" s="3" t="s">
        <v>79</v>
      </c>
      <c r="C31" s="3" t="s">
        <v>81</v>
      </c>
      <c r="D31" s="5">
        <v>5</v>
      </c>
      <c r="E31" s="5" t="str">
        <f t="shared" si="0"/>
        <v>KOZY-BREEZE05</v>
      </c>
      <c r="F31" s="3" t="s">
        <v>107</v>
      </c>
      <c r="G31" s="5">
        <v>25</v>
      </c>
      <c r="H31" s="3" t="s">
        <v>95</v>
      </c>
      <c r="I31" s="5">
        <v>90</v>
      </c>
      <c r="J31" s="5" t="s">
        <v>25</v>
      </c>
      <c r="K31" s="5" t="s">
        <v>26</v>
      </c>
      <c r="L31" s="5" t="s">
        <v>25</v>
      </c>
      <c r="M31" s="5" t="s">
        <v>26</v>
      </c>
    </row>
    <row r="32" spans="1:13" x14ac:dyDescent="0.25">
      <c r="A32" s="5">
        <v>31</v>
      </c>
      <c r="B32" s="3" t="s">
        <v>80</v>
      </c>
      <c r="C32" s="3" t="s">
        <v>81</v>
      </c>
      <c r="D32" s="5">
        <v>6</v>
      </c>
      <c r="E32" s="5" t="str">
        <f t="shared" si="0"/>
        <v>KOZY-BREEZE06</v>
      </c>
      <c r="F32" s="3" t="s">
        <v>107</v>
      </c>
      <c r="G32" s="5">
        <v>25</v>
      </c>
      <c r="H32" s="3" t="s">
        <v>95</v>
      </c>
      <c r="I32" s="5">
        <v>115</v>
      </c>
      <c r="J32" s="5" t="s">
        <v>25</v>
      </c>
      <c r="K32" s="5" t="s">
        <v>26</v>
      </c>
      <c r="L32" s="5" t="s">
        <v>25</v>
      </c>
      <c r="M32" s="5" t="s">
        <v>26</v>
      </c>
    </row>
    <row r="33" spans="1:13" x14ac:dyDescent="0.25">
      <c r="A33" s="5">
        <v>32</v>
      </c>
      <c r="B33" s="3" t="s">
        <v>83</v>
      </c>
      <c r="C33" s="3" t="s">
        <v>86</v>
      </c>
      <c r="D33" s="5">
        <v>4</v>
      </c>
      <c r="E33" s="5" t="str">
        <f t="shared" si="0"/>
        <v>MIRAGE-SOFT04</v>
      </c>
      <c r="F33" s="5" t="s">
        <v>45</v>
      </c>
      <c r="G33" s="5">
        <v>20</v>
      </c>
      <c r="H33" s="5" t="s">
        <v>82</v>
      </c>
      <c r="I33" s="5">
        <v>65</v>
      </c>
      <c r="J33" s="5" t="s">
        <v>25</v>
      </c>
      <c r="K33" s="5" t="s">
        <v>26</v>
      </c>
      <c r="L33" s="5" t="s">
        <v>25</v>
      </c>
      <c r="M33" s="5" t="s">
        <v>26</v>
      </c>
    </row>
    <row r="34" spans="1:13" x14ac:dyDescent="0.25">
      <c r="A34" s="5">
        <v>33</v>
      </c>
      <c r="B34" s="3" t="s">
        <v>84</v>
      </c>
      <c r="C34" s="3" t="s">
        <v>86</v>
      </c>
      <c r="D34" s="5">
        <v>5</v>
      </c>
      <c r="E34" s="5" t="str">
        <f t="shared" si="0"/>
        <v>MIRAGE-SOFT05</v>
      </c>
      <c r="F34" s="5" t="s">
        <v>45</v>
      </c>
      <c r="G34" s="5">
        <v>20</v>
      </c>
      <c r="H34" s="5" t="s">
        <v>82</v>
      </c>
      <c r="I34" s="5">
        <v>90</v>
      </c>
      <c r="J34" s="5" t="s">
        <v>25</v>
      </c>
      <c r="K34" s="5" t="s">
        <v>26</v>
      </c>
      <c r="L34" s="5" t="s">
        <v>25</v>
      </c>
      <c r="M34" s="5" t="s">
        <v>26</v>
      </c>
    </row>
    <row r="35" spans="1:13" x14ac:dyDescent="0.25">
      <c r="A35" s="5">
        <v>34</v>
      </c>
      <c r="B35" s="3" t="s">
        <v>85</v>
      </c>
      <c r="C35" s="3" t="s">
        <v>86</v>
      </c>
      <c r="D35" s="5">
        <v>6</v>
      </c>
      <c r="E35" s="5" t="str">
        <f t="shared" si="0"/>
        <v>MIRAGE-SOFT06</v>
      </c>
      <c r="F35" s="5" t="s">
        <v>45</v>
      </c>
      <c r="G35" s="5">
        <v>20</v>
      </c>
      <c r="H35" s="5" t="s">
        <v>82</v>
      </c>
      <c r="I35" s="5">
        <v>115</v>
      </c>
      <c r="J35" s="5" t="s">
        <v>25</v>
      </c>
      <c r="K35" s="5" t="s">
        <v>26</v>
      </c>
      <c r="L35" s="5" t="s">
        <v>25</v>
      </c>
      <c r="M35" s="5" t="s">
        <v>26</v>
      </c>
    </row>
    <row r="36" spans="1:13" x14ac:dyDescent="0.25">
      <c r="A36" s="5">
        <v>35</v>
      </c>
      <c r="B36" s="6" t="s">
        <v>87</v>
      </c>
      <c r="C36" s="5" t="s">
        <v>90</v>
      </c>
      <c r="D36" s="5">
        <v>5</v>
      </c>
      <c r="E36" s="5" t="str">
        <f t="shared" si="0"/>
        <v>HEAVENSPACE05</v>
      </c>
      <c r="F36" s="3" t="s">
        <v>76</v>
      </c>
      <c r="G36" s="3">
        <v>20</v>
      </c>
      <c r="H36" s="3" t="s">
        <v>97</v>
      </c>
      <c r="I36" s="3">
        <v>110</v>
      </c>
      <c r="J36" s="5" t="s">
        <v>25</v>
      </c>
      <c r="K36" s="5" t="s">
        <v>26</v>
      </c>
      <c r="L36" s="5" t="s">
        <v>25</v>
      </c>
      <c r="M36" s="5" t="s">
        <v>26</v>
      </c>
    </row>
    <row r="37" spans="1:13" x14ac:dyDescent="0.25">
      <c r="A37" s="5">
        <v>36</v>
      </c>
      <c r="B37" s="6" t="s">
        <v>88</v>
      </c>
      <c r="C37" s="5" t="s">
        <v>90</v>
      </c>
      <c r="D37" s="5">
        <v>6</v>
      </c>
      <c r="E37" s="5" t="str">
        <f t="shared" si="0"/>
        <v>HEAVENSPACE06</v>
      </c>
      <c r="F37" s="3" t="s">
        <v>76</v>
      </c>
      <c r="G37" s="3">
        <v>20</v>
      </c>
      <c r="H37" s="3" t="s">
        <v>97</v>
      </c>
      <c r="I37" s="3">
        <v>130</v>
      </c>
      <c r="J37" s="5" t="s">
        <v>25</v>
      </c>
      <c r="K37" s="5" t="s">
        <v>26</v>
      </c>
      <c r="L37" s="5" t="s">
        <v>25</v>
      </c>
      <c r="M37" s="5" t="s">
        <v>26</v>
      </c>
    </row>
    <row r="38" spans="1:13" x14ac:dyDescent="0.25">
      <c r="A38" s="5">
        <v>37</v>
      </c>
      <c r="B38" s="6" t="s">
        <v>89</v>
      </c>
      <c r="C38" s="5" t="s">
        <v>90</v>
      </c>
      <c r="D38" s="5">
        <v>8</v>
      </c>
      <c r="E38" s="5" t="str">
        <f t="shared" si="0"/>
        <v>HEAVENSPACE08</v>
      </c>
      <c r="F38" s="3" t="s">
        <v>76</v>
      </c>
      <c r="G38" s="3">
        <v>20</v>
      </c>
      <c r="H38" s="3" t="s">
        <v>97</v>
      </c>
      <c r="I38" s="3">
        <v>185</v>
      </c>
      <c r="J38" s="5" t="s">
        <v>25</v>
      </c>
      <c r="K38" s="5" t="s">
        <v>26</v>
      </c>
      <c r="L38" s="5" t="s">
        <v>25</v>
      </c>
      <c r="M38" s="5" t="s">
        <v>26</v>
      </c>
    </row>
    <row r="39" spans="1:13" x14ac:dyDescent="0.25">
      <c r="A39" s="5">
        <v>38</v>
      </c>
      <c r="B39" s="13" t="s">
        <v>92</v>
      </c>
      <c r="C39" s="5" t="s">
        <v>91</v>
      </c>
      <c r="D39" s="5">
        <v>4</v>
      </c>
      <c r="E39" s="5" t="str">
        <f t="shared" si="0"/>
        <v>90D-HYP-INSPREE04</v>
      </c>
      <c r="F39" s="5" t="s">
        <v>97</v>
      </c>
      <c r="G39" s="5">
        <v>25</v>
      </c>
      <c r="H39" s="3" t="s">
        <v>95</v>
      </c>
      <c r="I39" s="5">
        <v>70</v>
      </c>
      <c r="J39" s="5" t="s">
        <v>25</v>
      </c>
      <c r="K39" s="5" t="s">
        <v>26</v>
      </c>
      <c r="L39" s="5" t="s">
        <v>25</v>
      </c>
      <c r="M39" s="5" t="s">
        <v>26</v>
      </c>
    </row>
    <row r="40" spans="1:13" x14ac:dyDescent="0.25">
      <c r="A40" s="5">
        <v>39</v>
      </c>
      <c r="B40" s="13" t="s">
        <v>93</v>
      </c>
      <c r="C40" s="5" t="s">
        <v>91</v>
      </c>
      <c r="D40" s="5">
        <v>5</v>
      </c>
      <c r="E40" s="5" t="str">
        <f t="shared" si="0"/>
        <v>90D-HYP-INSPREE05</v>
      </c>
      <c r="F40" s="5" t="s">
        <v>97</v>
      </c>
      <c r="G40" s="5">
        <v>25</v>
      </c>
      <c r="H40" s="3" t="s">
        <v>95</v>
      </c>
      <c r="I40" s="5">
        <v>90</v>
      </c>
      <c r="J40" s="5" t="s">
        <v>25</v>
      </c>
      <c r="K40" s="5" t="s">
        <v>26</v>
      </c>
      <c r="L40" s="5" t="s">
        <v>25</v>
      </c>
      <c r="M40" s="5" t="s">
        <v>26</v>
      </c>
    </row>
    <row r="41" spans="1:13" x14ac:dyDescent="0.25">
      <c r="A41" s="5">
        <v>40</v>
      </c>
      <c r="B41" s="13" t="s">
        <v>94</v>
      </c>
      <c r="C41" s="5" t="s">
        <v>91</v>
      </c>
      <c r="D41" s="5">
        <v>6</v>
      </c>
      <c r="E41" s="5" t="str">
        <f t="shared" si="0"/>
        <v>90D-HYP-INSPREE06</v>
      </c>
      <c r="F41" s="5" t="s">
        <v>97</v>
      </c>
      <c r="G41" s="5">
        <v>25</v>
      </c>
      <c r="H41" s="3" t="s">
        <v>95</v>
      </c>
      <c r="I41" s="5">
        <v>110</v>
      </c>
      <c r="J41" s="5" t="s">
        <v>25</v>
      </c>
      <c r="K41" s="5" t="s">
        <v>26</v>
      </c>
      <c r="L41" s="5" t="s">
        <v>25</v>
      </c>
      <c r="M41" s="5" t="s">
        <v>26</v>
      </c>
    </row>
    <row r="42" spans="1:13" x14ac:dyDescent="0.25">
      <c r="A42" s="5">
        <v>41</v>
      </c>
      <c r="B42" s="13" t="s">
        <v>96</v>
      </c>
      <c r="C42" s="13" t="s">
        <v>91</v>
      </c>
      <c r="D42" s="5">
        <v>8</v>
      </c>
      <c r="E42" s="5" t="str">
        <f t="shared" si="0"/>
        <v>90D-HYP-INSPREE08</v>
      </c>
      <c r="F42" s="5" t="s">
        <v>97</v>
      </c>
      <c r="G42" s="5">
        <v>50</v>
      </c>
      <c r="H42" s="3" t="s">
        <v>95</v>
      </c>
      <c r="I42" s="5">
        <v>130</v>
      </c>
      <c r="J42" s="5" t="s">
        <v>25</v>
      </c>
      <c r="K42" s="5" t="s">
        <v>26</v>
      </c>
      <c r="L42" s="5" t="s">
        <v>25</v>
      </c>
      <c r="M42" s="5" t="s">
        <v>26</v>
      </c>
    </row>
    <row r="43" spans="1:13" x14ac:dyDescent="0.25">
      <c r="A43" s="5">
        <v>42</v>
      </c>
      <c r="B43" s="13" t="s">
        <v>98</v>
      </c>
      <c r="C43" s="5" t="s">
        <v>99</v>
      </c>
      <c r="D43" s="5">
        <v>4</v>
      </c>
      <c r="E43" s="5" t="str">
        <f t="shared" si="0"/>
        <v>VISTA-BOND04</v>
      </c>
      <c r="F43" s="3" t="s">
        <v>107</v>
      </c>
      <c r="G43" s="5">
        <v>25</v>
      </c>
      <c r="H43" s="3" t="s">
        <v>95</v>
      </c>
      <c r="I43" s="5">
        <v>70</v>
      </c>
      <c r="J43" s="5" t="s">
        <v>25</v>
      </c>
      <c r="K43" s="5" t="s">
        <v>26</v>
      </c>
      <c r="L43" s="5" t="s">
        <v>25</v>
      </c>
      <c r="M43" s="5" t="s">
        <v>26</v>
      </c>
    </row>
    <row r="44" spans="1:13" x14ac:dyDescent="0.25">
      <c r="A44" s="5">
        <v>43</v>
      </c>
      <c r="B44" s="13" t="s">
        <v>100</v>
      </c>
      <c r="C44" s="5" t="s">
        <v>99</v>
      </c>
      <c r="D44" s="5">
        <v>5</v>
      </c>
      <c r="E44" s="5" t="str">
        <f t="shared" si="0"/>
        <v>VISTA-BOND05</v>
      </c>
      <c r="F44" s="3" t="s">
        <v>107</v>
      </c>
      <c r="G44" s="5">
        <v>25</v>
      </c>
      <c r="H44" s="3" t="s">
        <v>95</v>
      </c>
      <c r="I44" s="5">
        <v>90</v>
      </c>
      <c r="J44" s="5" t="s">
        <v>25</v>
      </c>
      <c r="K44" s="5" t="s">
        <v>26</v>
      </c>
      <c r="L44" s="5" t="s">
        <v>25</v>
      </c>
      <c r="M44" s="5" t="s">
        <v>26</v>
      </c>
    </row>
    <row r="45" spans="1:13" x14ac:dyDescent="0.25">
      <c r="A45" s="5">
        <v>44</v>
      </c>
      <c r="B45" s="13" t="s">
        <v>101</v>
      </c>
      <c r="C45" s="5" t="s">
        <v>99</v>
      </c>
      <c r="D45" s="5">
        <v>6</v>
      </c>
      <c r="E45" s="5" t="str">
        <f t="shared" si="0"/>
        <v>VISTA-BOND06</v>
      </c>
      <c r="F45" s="3" t="s">
        <v>107</v>
      </c>
      <c r="G45" s="5">
        <v>25</v>
      </c>
      <c r="H45" s="3" t="s">
        <v>95</v>
      </c>
      <c r="I45" s="5">
        <v>115</v>
      </c>
      <c r="J45" s="5" t="s">
        <v>25</v>
      </c>
      <c r="K45" s="5" t="s">
        <v>26</v>
      </c>
      <c r="L45" s="5" t="s">
        <v>25</v>
      </c>
      <c r="M45" s="5" t="s">
        <v>26</v>
      </c>
    </row>
    <row r="46" spans="1:13" x14ac:dyDescent="0.25">
      <c r="A46" s="5">
        <v>45</v>
      </c>
      <c r="B46" s="13" t="s">
        <v>102</v>
      </c>
      <c r="C46" s="5" t="s">
        <v>99</v>
      </c>
      <c r="D46" s="5">
        <v>8</v>
      </c>
      <c r="E46" s="5" t="str">
        <f t="shared" si="0"/>
        <v>VISTA-BOND08</v>
      </c>
      <c r="F46" s="3" t="s">
        <v>107</v>
      </c>
      <c r="G46" s="5">
        <v>25</v>
      </c>
      <c r="H46" s="3" t="s">
        <v>95</v>
      </c>
      <c r="I46" s="5">
        <v>190</v>
      </c>
      <c r="J46" s="5" t="s">
        <v>25</v>
      </c>
      <c r="K46" s="5" t="s">
        <v>26</v>
      </c>
      <c r="L46" s="5" t="s">
        <v>25</v>
      </c>
      <c r="M46" s="5" t="s">
        <v>26</v>
      </c>
    </row>
    <row r="47" spans="1:13" x14ac:dyDescent="0.25">
      <c r="A47" s="5">
        <v>46</v>
      </c>
      <c r="B47" s="13" t="s">
        <v>109</v>
      </c>
      <c r="C47" s="5" t="s">
        <v>108</v>
      </c>
      <c r="D47" s="5">
        <v>5</v>
      </c>
      <c r="E47" s="5" t="str">
        <f t="shared" si="0"/>
        <v>90D-HYP-INS-ET05</v>
      </c>
      <c r="F47" s="5" t="s">
        <v>112</v>
      </c>
      <c r="G47" s="5">
        <v>25</v>
      </c>
      <c r="H47" s="3" t="s">
        <v>95</v>
      </c>
      <c r="I47" s="5">
        <v>90</v>
      </c>
      <c r="J47" s="5" t="s">
        <v>25</v>
      </c>
      <c r="K47" s="5" t="s">
        <v>26</v>
      </c>
      <c r="L47" s="5" t="s">
        <v>25</v>
      </c>
      <c r="M47" s="5" t="s">
        <v>26</v>
      </c>
    </row>
    <row r="48" spans="1:13" x14ac:dyDescent="0.25">
      <c r="A48" s="5">
        <v>47</v>
      </c>
      <c r="B48" s="13" t="s">
        <v>110</v>
      </c>
      <c r="C48" s="5" t="s">
        <v>108</v>
      </c>
      <c r="D48" s="5">
        <v>6</v>
      </c>
      <c r="E48" s="5" t="str">
        <f t="shared" si="0"/>
        <v>90D-HYP-INS-ET06</v>
      </c>
      <c r="F48" s="5" t="s">
        <v>112</v>
      </c>
      <c r="G48" s="5">
        <v>25</v>
      </c>
      <c r="H48" s="3" t="s">
        <v>95</v>
      </c>
      <c r="I48" s="5">
        <v>110</v>
      </c>
      <c r="J48" s="5" t="s">
        <v>25</v>
      </c>
      <c r="K48" s="5" t="s">
        <v>26</v>
      </c>
      <c r="L48" s="5" t="s">
        <v>25</v>
      </c>
      <c r="M48" s="5" t="s">
        <v>26</v>
      </c>
    </row>
    <row r="49" spans="1:13" x14ac:dyDescent="0.25">
      <c r="A49" s="5">
        <v>48</v>
      </c>
      <c r="B49" s="13" t="s">
        <v>111</v>
      </c>
      <c r="C49" s="13" t="s">
        <v>108</v>
      </c>
      <c r="D49" s="5">
        <v>8</v>
      </c>
      <c r="E49" s="5" t="str">
        <f t="shared" si="0"/>
        <v>90D-HYP-INS-ET08</v>
      </c>
      <c r="F49" s="5" t="s">
        <v>112</v>
      </c>
      <c r="G49" s="5">
        <v>50</v>
      </c>
      <c r="H49" s="3" t="s">
        <v>95</v>
      </c>
      <c r="I49" s="5">
        <v>130</v>
      </c>
      <c r="J49" s="5" t="s">
        <v>25</v>
      </c>
      <c r="K49" s="5" t="s">
        <v>26</v>
      </c>
      <c r="L49" s="5" t="s">
        <v>25</v>
      </c>
      <c r="M49" s="5" t="s">
        <v>26</v>
      </c>
    </row>
    <row r="50" spans="1:13" x14ac:dyDescent="0.25">
      <c r="A50" s="5">
        <v>49</v>
      </c>
      <c r="B50" s="13" t="s">
        <v>103</v>
      </c>
      <c r="C50" s="5" t="s">
        <v>104</v>
      </c>
      <c r="D50" s="16" t="s">
        <v>105</v>
      </c>
      <c r="E50" s="5" t="str">
        <f t="shared" si="0"/>
        <v>WEDGE-PLW09X1</v>
      </c>
      <c r="F50" s="5" t="s">
        <v>97</v>
      </c>
      <c r="G50" s="5">
        <v>200</v>
      </c>
      <c r="H50" s="3" t="s">
        <v>76</v>
      </c>
      <c r="I50" s="5">
        <v>25</v>
      </c>
      <c r="J50" s="5" t="s">
        <v>25</v>
      </c>
      <c r="K50" s="5" t="s">
        <v>26</v>
      </c>
      <c r="L50" s="5" t="s">
        <v>25</v>
      </c>
      <c r="M50" s="5" t="s">
        <v>26</v>
      </c>
    </row>
    <row r="51" spans="1:13" x14ac:dyDescent="0.25">
      <c r="A51" s="5">
        <v>50</v>
      </c>
      <c r="B51" s="13" t="s">
        <v>114</v>
      </c>
      <c r="C51" s="5" t="s">
        <v>115</v>
      </c>
      <c r="D51" s="5">
        <v>4</v>
      </c>
      <c r="E51" s="5" t="str">
        <f t="shared" ref="E51:E56" si="1">CONCATENATE(C51,"0",D51)</f>
        <v>ORTHO-BOND04</v>
      </c>
      <c r="F51" s="3" t="s">
        <v>107</v>
      </c>
      <c r="G51" s="5">
        <v>25</v>
      </c>
      <c r="H51" s="3" t="s">
        <v>95</v>
      </c>
      <c r="I51" s="5">
        <v>70</v>
      </c>
      <c r="J51" s="5" t="s">
        <v>25</v>
      </c>
      <c r="K51" s="5" t="s">
        <v>26</v>
      </c>
      <c r="L51" s="5" t="s">
        <v>25</v>
      </c>
      <c r="M51" s="5" t="s">
        <v>26</v>
      </c>
    </row>
    <row r="52" spans="1:13" x14ac:dyDescent="0.25">
      <c r="A52" s="5">
        <v>51</v>
      </c>
      <c r="B52" s="13" t="s">
        <v>116</v>
      </c>
      <c r="C52" s="5" t="s">
        <v>115</v>
      </c>
      <c r="D52" s="5">
        <v>5</v>
      </c>
      <c r="E52" s="5" t="str">
        <f t="shared" si="1"/>
        <v>ORTHO-BOND05</v>
      </c>
      <c r="F52" s="3" t="s">
        <v>107</v>
      </c>
      <c r="G52" s="5">
        <v>25</v>
      </c>
      <c r="H52" s="3" t="s">
        <v>95</v>
      </c>
      <c r="I52" s="5">
        <v>90</v>
      </c>
      <c r="J52" s="5" t="s">
        <v>25</v>
      </c>
      <c r="K52" s="5" t="s">
        <v>26</v>
      </c>
      <c r="L52" s="5" t="s">
        <v>25</v>
      </c>
      <c r="M52" s="5" t="s">
        <v>26</v>
      </c>
    </row>
    <row r="53" spans="1:13" x14ac:dyDescent="0.25">
      <c r="A53" s="5">
        <v>52</v>
      </c>
      <c r="B53" s="13" t="s">
        <v>117</v>
      </c>
      <c r="C53" s="5" t="s">
        <v>115</v>
      </c>
      <c r="D53" s="5">
        <v>6</v>
      </c>
      <c r="E53" s="5" t="str">
        <f t="shared" si="1"/>
        <v>ORTHO-BOND06</v>
      </c>
      <c r="F53" s="3" t="s">
        <v>107</v>
      </c>
      <c r="G53" s="5">
        <v>25</v>
      </c>
      <c r="H53" s="3" t="s">
        <v>95</v>
      </c>
      <c r="I53" s="5">
        <v>115</v>
      </c>
      <c r="J53" s="5" t="s">
        <v>25</v>
      </c>
      <c r="K53" s="5" t="s">
        <v>26</v>
      </c>
      <c r="L53" s="5" t="s">
        <v>25</v>
      </c>
      <c r="M53" s="5" t="s">
        <v>26</v>
      </c>
    </row>
    <row r="54" spans="1:13" x14ac:dyDescent="0.25">
      <c r="A54" s="5">
        <v>53</v>
      </c>
      <c r="B54" s="6" t="s">
        <v>118</v>
      </c>
      <c r="C54" s="5" t="s">
        <v>121</v>
      </c>
      <c r="D54" s="5">
        <v>5</v>
      </c>
      <c r="E54" s="5" t="str">
        <f t="shared" si="1"/>
        <v>HEAVEN-MEM05</v>
      </c>
      <c r="F54" s="3" t="s">
        <v>76</v>
      </c>
      <c r="G54" s="3">
        <v>20</v>
      </c>
      <c r="H54" s="3" t="s">
        <v>97</v>
      </c>
      <c r="I54" s="3">
        <v>110</v>
      </c>
      <c r="J54" s="5" t="s">
        <v>25</v>
      </c>
      <c r="K54" s="5" t="s">
        <v>26</v>
      </c>
      <c r="L54" s="5" t="s">
        <v>25</v>
      </c>
      <c r="M54" s="5" t="s">
        <v>26</v>
      </c>
    </row>
    <row r="55" spans="1:13" x14ac:dyDescent="0.25">
      <c r="A55" s="5">
        <v>54</v>
      </c>
      <c r="B55" s="6" t="s">
        <v>119</v>
      </c>
      <c r="C55" s="5" t="s">
        <v>121</v>
      </c>
      <c r="D55" s="5">
        <v>6</v>
      </c>
      <c r="E55" s="5" t="str">
        <f t="shared" si="1"/>
        <v>HEAVEN-MEM06</v>
      </c>
      <c r="F55" s="3" t="s">
        <v>76</v>
      </c>
      <c r="G55" s="3">
        <v>20</v>
      </c>
      <c r="H55" s="3" t="s">
        <v>97</v>
      </c>
      <c r="I55" s="3">
        <v>130</v>
      </c>
      <c r="J55" s="5" t="s">
        <v>25</v>
      </c>
      <c r="K55" s="5" t="s">
        <v>26</v>
      </c>
      <c r="L55" s="5" t="s">
        <v>25</v>
      </c>
      <c r="M55" s="5" t="s">
        <v>26</v>
      </c>
    </row>
    <row r="56" spans="1:13" x14ac:dyDescent="0.25">
      <c r="A56" s="5">
        <v>55</v>
      </c>
      <c r="B56" s="6" t="s">
        <v>120</v>
      </c>
      <c r="C56" s="5" t="s">
        <v>121</v>
      </c>
      <c r="D56" s="5">
        <v>8</v>
      </c>
      <c r="E56" s="5" t="str">
        <f t="shared" si="1"/>
        <v>HEAVEN-MEM08</v>
      </c>
      <c r="F56" s="3" t="s">
        <v>76</v>
      </c>
      <c r="G56" s="3">
        <v>20</v>
      </c>
      <c r="H56" s="3" t="s">
        <v>97</v>
      </c>
      <c r="I56" s="3">
        <v>185</v>
      </c>
      <c r="J56" s="5" t="s">
        <v>25</v>
      </c>
      <c r="K56" s="5" t="s">
        <v>26</v>
      </c>
      <c r="L56" s="5" t="s">
        <v>25</v>
      </c>
      <c r="M56" s="5" t="s">
        <v>26</v>
      </c>
    </row>
  </sheetData>
  <autoFilter ref="A1:M45"/>
  <conditionalFormatting sqref="B39:B41">
    <cfRule type="duplicateValues" dxfId="4" priority="5"/>
  </conditionalFormatting>
  <conditionalFormatting sqref="B42:C42 B43:B46 B50">
    <cfRule type="duplicateValues" dxfId="3" priority="469"/>
  </conditionalFormatting>
  <conditionalFormatting sqref="B47:B48">
    <cfRule type="duplicateValues" dxfId="2" priority="2"/>
  </conditionalFormatting>
  <conditionalFormatting sqref="B49:C49">
    <cfRule type="duplicateValues" dxfId="1" priority="3"/>
  </conditionalFormatting>
  <conditionalFormatting sqref="B51:B53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"/>
  <sheetViews>
    <sheetView workbookViewId="0">
      <selection activeCell="N4" sqref="N4"/>
    </sheetView>
  </sheetViews>
  <sheetFormatPr defaultRowHeight="15" x14ac:dyDescent="0.25"/>
  <cols>
    <col min="1" max="1" width="10" bestFit="1" customWidth="1"/>
    <col min="2" max="2" width="11.140625" bestFit="1" customWidth="1"/>
    <col min="3" max="4" width="11.7109375" bestFit="1" customWidth="1"/>
    <col min="5" max="5" width="9.85546875" bestFit="1" customWidth="1"/>
    <col min="6" max="6" width="8.28515625" bestFit="1" customWidth="1"/>
    <col min="7" max="7" width="7.28515625" bestFit="1" customWidth="1"/>
    <col min="8" max="8" width="8" bestFit="1" customWidth="1"/>
    <col min="9" max="9" width="15.42578125" bestFit="1" customWidth="1"/>
    <col min="10" max="10" width="18.85546875" bestFit="1" customWidth="1"/>
    <col min="11" max="11" width="12.85546875" customWidth="1"/>
    <col min="12" max="12" width="13.28515625" bestFit="1" customWidth="1"/>
    <col min="13" max="13" width="13.85546875" customWidth="1"/>
    <col min="14" max="15" width="16.5703125" bestFit="1" customWidth="1"/>
    <col min="16" max="16" width="12.5703125" bestFit="1" customWidth="1"/>
  </cols>
  <sheetData>
    <row r="1" spans="1:16" x14ac:dyDescent="0.25">
      <c r="A1" s="3" t="s">
        <v>29</v>
      </c>
      <c r="B1" s="3" t="s">
        <v>31</v>
      </c>
      <c r="C1" s="3" t="s">
        <v>35</v>
      </c>
      <c r="D1" s="3" t="s">
        <v>52</v>
      </c>
      <c r="E1" s="3" t="s">
        <v>24</v>
      </c>
      <c r="F1" s="3" t="s">
        <v>39</v>
      </c>
      <c r="G1" s="3" t="s">
        <v>44</v>
      </c>
      <c r="H1" s="3" t="s">
        <v>49</v>
      </c>
      <c r="I1" s="3" t="s">
        <v>54</v>
      </c>
      <c r="J1" s="3" t="s">
        <v>60</v>
      </c>
      <c r="K1" s="5" t="s">
        <v>81</v>
      </c>
      <c r="L1" s="7" t="s">
        <v>86</v>
      </c>
      <c r="M1" s="7" t="s">
        <v>90</v>
      </c>
      <c r="N1" s="7" t="s">
        <v>108</v>
      </c>
      <c r="O1" s="7" t="s">
        <v>91</v>
      </c>
      <c r="P1" s="5" t="s">
        <v>99</v>
      </c>
    </row>
    <row r="2" spans="1:16" x14ac:dyDescent="0.25">
      <c r="A2" s="3">
        <v>5</v>
      </c>
      <c r="B2" s="3">
        <v>5</v>
      </c>
      <c r="C2" s="3">
        <v>5</v>
      </c>
      <c r="D2" s="3">
        <v>5</v>
      </c>
      <c r="E2" s="3">
        <v>4</v>
      </c>
      <c r="F2" s="3">
        <v>4</v>
      </c>
      <c r="G2" s="3">
        <v>4</v>
      </c>
      <c r="H2" s="3">
        <v>4</v>
      </c>
      <c r="I2" s="3">
        <v>4</v>
      </c>
      <c r="J2" s="3">
        <v>6</v>
      </c>
      <c r="K2" s="15">
        <v>4</v>
      </c>
      <c r="L2" s="5">
        <v>4</v>
      </c>
      <c r="M2" s="5">
        <v>5</v>
      </c>
      <c r="N2" s="5">
        <v>5</v>
      </c>
      <c r="O2" s="5">
        <v>4</v>
      </c>
      <c r="P2" s="15">
        <v>4</v>
      </c>
    </row>
    <row r="3" spans="1:16" x14ac:dyDescent="0.25">
      <c r="A3" s="3">
        <v>6</v>
      </c>
      <c r="B3" s="3">
        <v>6</v>
      </c>
      <c r="C3" s="3">
        <v>6</v>
      </c>
      <c r="D3" s="3">
        <v>6</v>
      </c>
      <c r="E3" s="3">
        <v>5</v>
      </c>
      <c r="F3" s="3">
        <v>5</v>
      </c>
      <c r="G3" s="3">
        <v>5</v>
      </c>
      <c r="H3" s="3">
        <v>5</v>
      </c>
      <c r="I3" s="3">
        <v>5</v>
      </c>
      <c r="K3" s="15">
        <v>5</v>
      </c>
      <c r="L3" s="5">
        <v>5</v>
      </c>
      <c r="M3" s="5">
        <v>6</v>
      </c>
      <c r="N3" s="5">
        <v>6</v>
      </c>
      <c r="O3" s="5">
        <v>5</v>
      </c>
      <c r="P3" s="15">
        <v>5</v>
      </c>
    </row>
    <row r="4" spans="1:16" x14ac:dyDescent="0.25">
      <c r="A4" s="3">
        <v>8</v>
      </c>
      <c r="B4" s="3">
        <v>8</v>
      </c>
      <c r="C4" s="3">
        <v>8</v>
      </c>
      <c r="D4" s="3">
        <v>8</v>
      </c>
      <c r="E4" s="3">
        <v>6</v>
      </c>
      <c r="F4" s="3">
        <v>6</v>
      </c>
      <c r="G4" s="3">
        <v>6</v>
      </c>
      <c r="H4" s="3">
        <v>6</v>
      </c>
      <c r="I4" s="3">
        <v>6</v>
      </c>
      <c r="K4" s="15">
        <v>6</v>
      </c>
      <c r="L4" s="5">
        <v>6</v>
      </c>
      <c r="M4" s="5">
        <v>8</v>
      </c>
      <c r="N4" s="5">
        <v>8</v>
      </c>
      <c r="O4" s="5">
        <v>6</v>
      </c>
      <c r="P4" s="15">
        <v>6</v>
      </c>
    </row>
    <row r="5" spans="1:16" x14ac:dyDescent="0.25">
      <c r="O5" s="5">
        <v>8</v>
      </c>
      <c r="P5" s="15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OVERALL SHEET</vt:lpstr>
      <vt:lpstr>SPEC CHECK</vt:lpstr>
      <vt:lpstr>Sheet2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ERP</dc:creator>
  <cp:lastModifiedBy>Ashok</cp:lastModifiedBy>
  <cp:lastPrinted>2025-09-05T10:14:48Z</cp:lastPrinted>
  <dcterms:created xsi:type="dcterms:W3CDTF">2006-09-16T00:00:00Z</dcterms:created>
  <dcterms:modified xsi:type="dcterms:W3CDTF">2025-09-18T14:49:58Z</dcterms:modified>
</cp:coreProperties>
</file>